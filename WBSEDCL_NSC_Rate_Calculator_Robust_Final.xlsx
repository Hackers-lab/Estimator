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xr:revisionPtr revIDLastSave="0" documentId="13_ncr:1_{EDDD9B32-1152-4820-B3D2-6BFAC27E4A7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alculator" sheetId="1" r:id="rId1"/>
    <sheet name="Rate Master" sheetId="2" r:id="rId2"/>
    <sheet name="CRM Check" sheetId="3" r:id="rId3"/>
    <sheet name="HELP" sheetId="4" r:id="rId4"/>
  </sheets>
  <definedNames>
    <definedName name="_xlnm._FilterDatabase" localSheetId="1" hidden="1">'Rate Master'!$A$3:$J$13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3" l="1"/>
  <c r="F5" i="3" s="1"/>
  <c r="G5" i="3" s="1"/>
  <c r="E4" i="3"/>
  <c r="F4" i="3" s="1"/>
  <c r="G4" i="3" s="1"/>
  <c r="K12" i="1"/>
  <c r="G12" i="1"/>
  <c r="H12" i="1" s="1"/>
  <c r="E12" i="1"/>
  <c r="D12" i="1"/>
  <c r="C12" i="1"/>
  <c r="B12" i="1"/>
  <c r="J6" i="1"/>
  <c r="G6" i="1"/>
  <c r="H6" i="1" s="1"/>
  <c r="E6" i="1"/>
  <c r="D6" i="1"/>
  <c r="C6" i="1"/>
  <c r="B6" i="1"/>
  <c r="I6" i="1" l="1"/>
  <c r="M6" i="1" s="1"/>
  <c r="I12" i="1"/>
  <c r="M12" i="1" s="1"/>
</calcChain>
</file>

<file path=xl/sharedStrings.xml><?xml version="1.0" encoding="utf-8"?>
<sst xmlns="http://schemas.openxmlformats.org/spreadsheetml/2006/main" count="154" uniqueCount="94">
  <si>
    <t>WBSEDCL NEW SERVICE CONNECTION RATE CALCULATOR</t>
  </si>
  <si>
    <t>Enter only the yellow cells. Execution Cost excludes separate mobilization/survey. Cable is automatically capped at the contractual maximum.</t>
  </si>
  <si>
    <t>SINGLE-PHASE NSC</t>
  </si>
  <si>
    <t>Type</t>
  </si>
  <si>
    <t>Cable Code</t>
  </si>
  <si>
    <t>Base Service Cost</t>
  </si>
  <si>
    <t>Rate / m</t>
  </si>
  <si>
    <t>Max Cable</t>
  </si>
  <si>
    <t>Actual Cable</t>
  </si>
  <si>
    <t>Allowed Cable</t>
  </si>
  <si>
    <t>Cable Cost</t>
  </si>
  <si>
    <t>EXECUTION COST</t>
  </si>
  <si>
    <t>Mobilization</t>
  </si>
  <si>
    <t>Material Deduction</t>
  </si>
  <si>
    <t>GST %</t>
  </si>
  <si>
    <t>TOTAL PAYABLE</t>
  </si>
  <si>
    <t>I4</t>
  </si>
  <si>
    <t>Check:</t>
  </si>
  <si>
    <t>For I4 + 20 m, Execution Cost should be ₹2,198.84 (matches CRM RATES.xls).</t>
  </si>
  <si>
    <t>THREE-PHASE NSC</t>
  </si>
  <si>
    <t>Survey?</t>
  </si>
  <si>
    <t>Survey Charge</t>
  </si>
  <si>
    <t>L16</t>
  </si>
  <si>
    <t>Example L16 + 27 m → ₹3,974.88 + (27 × ₹106.05) = ₹6,838.23 execution cost.</t>
  </si>
  <si>
    <t>WBSEDCL NSC RATE MASTER — OFFICE ORDERS 35 &amp; 36 (27/09/2018)</t>
  </si>
  <si>
    <t>Phase</t>
  </si>
  <si>
    <t>Service Connection Cost (₹)</t>
  </si>
  <si>
    <t>Rate / m (₹)</t>
  </si>
  <si>
    <t>Max Cable (m)</t>
  </si>
  <si>
    <t>Separate Charge</t>
  </si>
  <si>
    <t>Charge Amount (₹)</t>
  </si>
  <si>
    <t>Charge Basis</t>
  </si>
  <si>
    <t>Source</t>
  </si>
  <si>
    <t>1-Phase</t>
  </si>
  <si>
    <t>L4</t>
  </si>
  <si>
    <t>2C4S</t>
  </si>
  <si>
    <t>Per APL consumer</t>
  </si>
  <si>
    <t>Office Order 36, p1-3</t>
  </si>
  <si>
    <t>L6</t>
  </si>
  <si>
    <t>2C6S</t>
  </si>
  <si>
    <t>I6</t>
  </si>
  <si>
    <t>3-Phase</t>
  </si>
  <si>
    <t>4C16S</t>
  </si>
  <si>
    <t>Survey</t>
  </si>
  <si>
    <t>If required, per application</t>
  </si>
  <si>
    <t>Office Order 35, p1</t>
  </si>
  <si>
    <t>L25</t>
  </si>
  <si>
    <t>4C25S</t>
  </si>
  <si>
    <t>I16</t>
  </si>
  <si>
    <t>I25</t>
  </si>
  <si>
    <t>Drop 16</t>
  </si>
  <si>
    <t>Drop 25</t>
  </si>
  <si>
    <t>Source note</t>
  </si>
  <si>
    <t>Single Phase: Office Order No. 36 dated 27/09/2018. Three Phase: Office Order No. 35 dated 27/09/2018. Values transcribed from the uploaded documents.</t>
  </si>
  <si>
    <t>CRM RATES.XLS — OBSERVED EXECUTION COST CHECK</t>
  </si>
  <si>
    <t>CRM Cable Type</t>
  </si>
  <si>
    <t>Phase Type</t>
  </si>
  <si>
    <t>Cable Length (m)</t>
  </si>
  <si>
    <t>CRM Execution Cost</t>
  </si>
  <si>
    <t>Calculated Execution Cost</t>
  </si>
  <si>
    <t>Difference</t>
  </si>
  <si>
    <t>Status</t>
  </si>
  <si>
    <t>Important: The uploaded CRM extract contains observed non-zero execution costs for 2C4S and 2C6S. 3-phase values were not present in this extract, so 3-phase is sourced from Office Order No. 35.</t>
  </si>
  <si>
    <t>HELP / CALCULATION LOGIC</t>
  </si>
  <si>
    <t>Step</t>
  </si>
  <si>
    <t>Item</t>
  </si>
  <si>
    <t>Explanation</t>
  </si>
  <si>
    <t>1</t>
  </si>
  <si>
    <t>Enter Type</t>
  </si>
  <si>
    <t>Use the dropdown. The correct base service cost, cable rate and ceiling are looked up from Rate Master.</t>
  </si>
  <si>
    <t>2</t>
  </si>
  <si>
    <t>Enter Actual Cable</t>
  </si>
  <si>
    <t>Enter actual cable length in metres. The formula charges only up to the contractual maximum.</t>
  </si>
  <si>
    <t>3</t>
  </si>
  <si>
    <t>Execution Cost</t>
  </si>
  <si>
    <t>Base Service Cost + (Rate per metre × Allowed Cable). Separate mobilization/survey is NOT included.</t>
  </si>
  <si>
    <t>4</t>
  </si>
  <si>
    <t>Single Phase</t>
  </si>
  <si>
    <t>₹50 mobilization is separate per APL consumer.</t>
  </si>
  <si>
    <t>5</t>
  </si>
  <si>
    <t>Three Phase</t>
  </si>
  <si>
    <t>₹53 survey is separate and only added when Survey? = Yes.</t>
  </si>
  <si>
    <t>6</t>
  </si>
  <si>
    <t>Enter the applicable deduction only when WBSEDCL-supplied material is actually issued. The order states pro-rata deduction may be made.</t>
  </si>
  <si>
    <t>7</t>
  </si>
  <si>
    <t>GST</t>
  </si>
  <si>
    <t>GST is left as an input where applicable; do not assume a rate not stated in the source order.</t>
  </si>
  <si>
    <t>8</t>
  </si>
  <si>
    <t>CRM Check</t>
  </si>
  <si>
    <t>The CRM Check sheet verifies I4/2C4S/20m and I6/2C6S/20m against the uploaded RATES.xls values.</t>
  </si>
  <si>
    <t>9</t>
  </si>
  <si>
    <t>3-Phase source</t>
  </si>
  <si>
    <t>Office Order No. 35 lists L16 ₹3974.88 + ₹106.05/m, L25 ₹4254.39 + ₹147/m, I16 ₹3251.09 + ₹106.05/m, I25 ₹3339.38 + ₹147/m, Drop 16/25 ₹1937.85 plus cable rate; max 27m except Drops max 10m.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</si>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</sst>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4"/>
      <color rgb="FFFFFFFF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zoomScaleNormal="100" workbookViewId="0">
      <pane ySplit="4" topLeftCell="A5" activePane="bottomLeft" state="frozen"/>
      <selection pane="bottomLeft" activeCell="F13" sqref="F13"/>
    </sheetView>
  </sheetViews>
  <sheetFormatPr defaultColWidth="8.7109375" defaultRowHeight="15" customHeight="1" x14ac:dyDescent="0.25"/>
  <cols>
    <col min="1" max="1" width="15" customWidth="1"/>
    <col min="2" max="2" width="14" customWidth="1"/>
    <col min="3" max="3" width="20" customWidth="1"/>
    <col min="4" max="4" width="13" customWidth="1"/>
    <col min="5" max="5" width="12" customWidth="1"/>
    <col min="6" max="7" width="16" customWidth="1"/>
    <col min="8" max="8" width="17" customWidth="1"/>
    <col min="9" max="9" width="20" customWidth="1"/>
    <col min="10" max="10" width="15" customWidth="1"/>
    <col min="11" max="11" width="18" customWidth="1"/>
    <col min="12" max="12" width="20" customWidth="1"/>
    <col min="13" max="13" width="21" customWidth="1"/>
  </cols>
  <sheetData>
    <row r="1" spans="1:13" ht="20.2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15.75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29.25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</row>
    <row r="6" spans="1:13" x14ac:dyDescent="0.25">
      <c r="A6" s="8" t="s">
        <v>16</v>
      </c>
      <c r="B6" s="9" t="str">
        <f>IFERROR(INDEX('Rate Master'!$C$4:$C$7,MATCH(A6,'Rate Master'!$B$4:$B$7,0)),"")</f>
        <v>2C4S</v>
      </c>
      <c r="C6" s="10">
        <f>IFERROR(INDEX('Rate Master'!$D$4:$D$7,MATCH(A6,'Rate Master'!$B$4:$B$7,0)),0)</f>
        <v>2041.24</v>
      </c>
      <c r="D6" s="10">
        <f>IFERROR(INDEX('Rate Master'!$E$4:$E$7,MATCH(A6,'Rate Master'!$B$4:$B$7,0)),0)</f>
        <v>7.88</v>
      </c>
      <c r="E6" s="9">
        <f>IFERROR(INDEX('Rate Master'!$F$4:$F$7,MATCH(A6,'Rate Master'!$B$4:$B$7,0)),0)</f>
        <v>27</v>
      </c>
      <c r="F6" s="8">
        <v>20</v>
      </c>
      <c r="G6" s="9">
        <f>MIN(F6,E6)</f>
        <v>20</v>
      </c>
      <c r="H6" s="10">
        <f>D6*G6</f>
        <v>157.6</v>
      </c>
      <c r="I6" s="10">
        <f>C6+H6</f>
        <v>2198.84</v>
      </c>
      <c r="J6" s="10">
        <f>50</f>
        <v>50</v>
      </c>
      <c r="K6" s="11">
        <v>0</v>
      </c>
      <c r="L6" s="8">
        <v>0</v>
      </c>
      <c r="M6" s="10">
        <f>(I6-K6)*(1+L6/100)+J6</f>
        <v>2248.84</v>
      </c>
    </row>
    <row r="7" spans="1:13" ht="90" x14ac:dyDescent="0.25">
      <c r="A7" s="12" t="s">
        <v>17</v>
      </c>
      <c r="B7" s="13" t="s">
        <v>18</v>
      </c>
    </row>
    <row r="10" spans="1:13" ht="15.75" x14ac:dyDescent="0.25">
      <c r="A10" s="4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9.25" x14ac:dyDescent="0.25">
      <c r="A11" s="7" t="s">
        <v>3</v>
      </c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s">
        <v>9</v>
      </c>
      <c r="H11" s="7" t="s">
        <v>10</v>
      </c>
      <c r="I11" s="7" t="s">
        <v>11</v>
      </c>
      <c r="J11" s="7" t="s">
        <v>20</v>
      </c>
      <c r="K11" s="7" t="s">
        <v>21</v>
      </c>
      <c r="L11" s="7" t="s">
        <v>13</v>
      </c>
      <c r="M11" s="7" t="s">
        <v>15</v>
      </c>
    </row>
    <row r="12" spans="1:13" x14ac:dyDescent="0.25">
      <c r="A12" s="8" t="s">
        <v>22</v>
      </c>
      <c r="B12" s="9" t="str">
        <f>IFERROR(INDEX('Rate Master'!$C$8:$C$13,MATCH(A12,'Rate Master'!$B$8:$B$13,0)),"")</f>
        <v>4C16S</v>
      </c>
      <c r="C12" s="10">
        <f>IFERROR(INDEX('Rate Master'!$D$8:$D$13,MATCH(A12,'Rate Master'!$B$8:$B$13,0)),0)</f>
        <v>3974.88</v>
      </c>
      <c r="D12" s="10">
        <f>IFERROR(INDEX('Rate Master'!$E$8:$E$13,MATCH(A12,'Rate Master'!$B$8:$B$13,0)),0)</f>
        <v>106.05</v>
      </c>
      <c r="E12" s="9">
        <f>IFERROR(INDEX('Rate Master'!$F$8:$F$13,MATCH(A12,'Rate Master'!$B$8:$B$13,0)),0)</f>
        <v>27</v>
      </c>
      <c r="F12" s="8">
        <v>20</v>
      </c>
      <c r="G12" s="9">
        <f>MIN(F12,E12)</f>
        <v>20</v>
      </c>
      <c r="H12" s="10">
        <f>D12*G12</f>
        <v>2121</v>
      </c>
      <c r="I12" s="10">
        <f>C12+H12</f>
        <v>6095.88</v>
      </c>
      <c r="J12" s="8" t="s">
        <v>93</v>
      </c>
      <c r="K12" s="10">
        <f>IF(J12="Yes",53,0)</f>
        <v>53</v>
      </c>
      <c r="L12" s="11">
        <v>0</v>
      </c>
      <c r="M12" s="10">
        <f>I12+K12-L12</f>
        <v>6148.88</v>
      </c>
    </row>
    <row r="13" spans="1:13" ht="105" x14ac:dyDescent="0.25">
      <c r="A13" s="12" t="s">
        <v>17</v>
      </c>
      <c r="B13" s="13" t="s">
        <v>23</v>
      </c>
    </row>
  </sheetData>
  <mergeCells count="4">
    <mergeCell ref="A1:M1"/>
    <mergeCell ref="A2:M2"/>
    <mergeCell ref="A4:M4"/>
    <mergeCell ref="A10:M10"/>
  </mergeCells>
  <dataValidations count="4">
    <dataValidation type="list" sqref="A6" xr:uid="{00000000-0002-0000-0000-000000000000}">
      <formula1>"L4,L6,I4,I6"</formula1>
      <formula2>0</formula2>
    </dataValidation>
    <dataValidation type="list" sqref="A12" xr:uid="{00000000-0002-0000-0000-000001000000}">
      <formula1>"L16,L25,I16,I25,Drop 16,Drop 25"</formula1>
      <formula2>0</formula2>
    </dataValidation>
    <dataValidation type="list" sqref="J12" xr:uid="{00000000-0002-0000-0000-000002000000}">
      <formula1>"Yes,No"</formula1>
      <formula2>0</formula2>
    </dataValidation>
    <dataValidation type="decimal" operator="greaterThanOrEqual" sqref="F6 K6:L6 F12 L12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customHeight="1" x14ac:dyDescent="0.25"/>
  <cols>
    <col min="1" max="1" width="12" customWidth="1"/>
    <col min="2" max="2" width="13" customWidth="1"/>
    <col min="3" max="3" width="12" customWidth="1"/>
    <col min="4" max="4" width="25" customWidth="1"/>
    <col min="5" max="5" width="15" customWidth="1"/>
    <col min="6" max="6" width="16" customWidth="1"/>
    <col min="7" max="7" width="17" customWidth="1"/>
    <col min="8" max="8" width="18" customWidth="1"/>
    <col min="9" max="9" width="28" customWidth="1"/>
    <col min="10" max="10" width="27" customWidth="1"/>
  </cols>
  <sheetData>
    <row r="1" spans="1:10" ht="18" x14ac:dyDescent="0.2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3" spans="1:10" ht="29.25" x14ac:dyDescent="0.25">
      <c r="A3" s="7" t="s">
        <v>25</v>
      </c>
      <c r="B3" s="7" t="s">
        <v>3</v>
      </c>
      <c r="C3" s="7" t="s">
        <v>4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</row>
    <row r="4" spans="1:10" x14ac:dyDescent="0.25">
      <c r="A4" s="14" t="s">
        <v>33</v>
      </c>
      <c r="B4" s="14" t="s">
        <v>34</v>
      </c>
      <c r="C4" s="14" t="s">
        <v>35</v>
      </c>
      <c r="D4" s="15">
        <v>2759.79</v>
      </c>
      <c r="E4" s="15">
        <v>7.88</v>
      </c>
      <c r="F4" s="14">
        <v>27</v>
      </c>
      <c r="G4" s="14" t="s">
        <v>12</v>
      </c>
      <c r="H4" s="15">
        <v>50</v>
      </c>
      <c r="I4" s="14" t="s">
        <v>36</v>
      </c>
      <c r="J4" s="14" t="s">
        <v>37</v>
      </c>
    </row>
    <row r="5" spans="1:10" x14ac:dyDescent="0.25">
      <c r="A5" s="14" t="s">
        <v>33</v>
      </c>
      <c r="B5" s="14" t="s">
        <v>38</v>
      </c>
      <c r="C5" s="14" t="s">
        <v>39</v>
      </c>
      <c r="D5" s="15">
        <v>2759.79</v>
      </c>
      <c r="E5" s="15">
        <v>28.06</v>
      </c>
      <c r="F5" s="14">
        <v>27</v>
      </c>
      <c r="G5" s="14" t="s">
        <v>12</v>
      </c>
      <c r="H5" s="15">
        <v>50</v>
      </c>
      <c r="I5" s="14" t="s">
        <v>36</v>
      </c>
      <c r="J5" s="14" t="s">
        <v>37</v>
      </c>
    </row>
    <row r="6" spans="1:10" x14ac:dyDescent="0.25">
      <c r="A6" s="14" t="s">
        <v>33</v>
      </c>
      <c r="B6" s="14" t="s">
        <v>16</v>
      </c>
      <c r="C6" s="14" t="s">
        <v>35</v>
      </c>
      <c r="D6" s="15">
        <v>2041.24</v>
      </c>
      <c r="E6" s="15">
        <v>7.88</v>
      </c>
      <c r="F6" s="14">
        <v>27</v>
      </c>
      <c r="G6" s="14" t="s">
        <v>12</v>
      </c>
      <c r="H6" s="15">
        <v>50</v>
      </c>
      <c r="I6" s="14" t="s">
        <v>36</v>
      </c>
      <c r="J6" s="14" t="s">
        <v>37</v>
      </c>
    </row>
    <row r="7" spans="1:10" x14ac:dyDescent="0.25">
      <c r="A7" s="14" t="s">
        <v>33</v>
      </c>
      <c r="B7" s="14" t="s">
        <v>40</v>
      </c>
      <c r="C7" s="14" t="s">
        <v>39</v>
      </c>
      <c r="D7" s="15">
        <v>2041.24</v>
      </c>
      <c r="E7" s="15">
        <v>28.06</v>
      </c>
      <c r="F7" s="14">
        <v>27</v>
      </c>
      <c r="G7" s="14" t="s">
        <v>12</v>
      </c>
      <c r="H7" s="15">
        <v>50</v>
      </c>
      <c r="I7" s="14" t="s">
        <v>36</v>
      </c>
      <c r="J7" s="14" t="s">
        <v>37</v>
      </c>
    </row>
    <row r="8" spans="1:10" x14ac:dyDescent="0.25">
      <c r="A8" s="14" t="s">
        <v>41</v>
      </c>
      <c r="B8" s="14" t="s">
        <v>22</v>
      </c>
      <c r="C8" s="14" t="s">
        <v>42</v>
      </c>
      <c r="D8" s="15">
        <v>3974.88</v>
      </c>
      <c r="E8" s="15">
        <v>106.05</v>
      </c>
      <c r="F8" s="14">
        <v>27</v>
      </c>
      <c r="G8" s="14" t="s">
        <v>43</v>
      </c>
      <c r="H8" s="15">
        <v>53</v>
      </c>
      <c r="I8" s="14" t="s">
        <v>44</v>
      </c>
      <c r="J8" s="14" t="s">
        <v>45</v>
      </c>
    </row>
    <row r="9" spans="1:10" x14ac:dyDescent="0.25">
      <c r="A9" s="14" t="s">
        <v>41</v>
      </c>
      <c r="B9" s="14" t="s">
        <v>46</v>
      </c>
      <c r="C9" s="14" t="s">
        <v>47</v>
      </c>
      <c r="D9" s="15">
        <v>4254.3900000000003</v>
      </c>
      <c r="E9" s="15">
        <v>147</v>
      </c>
      <c r="F9" s="14">
        <v>27</v>
      </c>
      <c r="G9" s="14" t="s">
        <v>43</v>
      </c>
      <c r="H9" s="15">
        <v>53</v>
      </c>
      <c r="I9" s="14" t="s">
        <v>44</v>
      </c>
      <c r="J9" s="14" t="s">
        <v>45</v>
      </c>
    </row>
    <row r="10" spans="1:10" x14ac:dyDescent="0.25">
      <c r="A10" s="14" t="s">
        <v>41</v>
      </c>
      <c r="B10" s="14" t="s">
        <v>48</v>
      </c>
      <c r="C10" s="14" t="s">
        <v>42</v>
      </c>
      <c r="D10" s="15">
        <v>3251.09</v>
      </c>
      <c r="E10" s="15">
        <v>106.05</v>
      </c>
      <c r="F10" s="14">
        <v>27</v>
      </c>
      <c r="G10" s="14" t="s">
        <v>43</v>
      </c>
      <c r="H10" s="15">
        <v>53</v>
      </c>
      <c r="I10" s="14" t="s">
        <v>44</v>
      </c>
      <c r="J10" s="14" t="s">
        <v>45</v>
      </c>
    </row>
    <row r="11" spans="1:10" x14ac:dyDescent="0.25">
      <c r="A11" s="14" t="s">
        <v>41</v>
      </c>
      <c r="B11" s="14" t="s">
        <v>49</v>
      </c>
      <c r="C11" s="14" t="s">
        <v>47</v>
      </c>
      <c r="D11" s="15">
        <v>3339.38</v>
      </c>
      <c r="E11" s="15">
        <v>147</v>
      </c>
      <c r="F11" s="14">
        <v>27</v>
      </c>
      <c r="G11" s="14" t="s">
        <v>43</v>
      </c>
      <c r="H11" s="15">
        <v>53</v>
      </c>
      <c r="I11" s="14" t="s">
        <v>44</v>
      </c>
      <c r="J11" s="14" t="s">
        <v>45</v>
      </c>
    </row>
    <row r="12" spans="1:10" x14ac:dyDescent="0.25">
      <c r="A12" s="14" t="s">
        <v>41</v>
      </c>
      <c r="B12" s="14" t="s">
        <v>50</v>
      </c>
      <c r="C12" s="14" t="s">
        <v>42</v>
      </c>
      <c r="D12" s="15">
        <v>1937.85</v>
      </c>
      <c r="E12" s="15">
        <v>106.05</v>
      </c>
      <c r="F12" s="14">
        <v>10</v>
      </c>
      <c r="G12" s="14" t="s">
        <v>43</v>
      </c>
      <c r="H12" s="15">
        <v>53</v>
      </c>
      <c r="I12" s="14" t="s">
        <v>44</v>
      </c>
      <c r="J12" s="14" t="s">
        <v>45</v>
      </c>
    </row>
    <row r="13" spans="1:10" x14ac:dyDescent="0.25">
      <c r="A13" s="14" t="s">
        <v>41</v>
      </c>
      <c r="B13" s="14" t="s">
        <v>51</v>
      </c>
      <c r="C13" s="14" t="s">
        <v>47</v>
      </c>
      <c r="D13" s="15">
        <v>1937.85</v>
      </c>
      <c r="E13" s="15">
        <v>147</v>
      </c>
      <c r="F13" s="14">
        <v>10</v>
      </c>
      <c r="G13" s="14" t="s">
        <v>43</v>
      </c>
      <c r="H13" s="15">
        <v>53</v>
      </c>
      <c r="I13" s="14" t="s">
        <v>44</v>
      </c>
      <c r="J13" s="14" t="s">
        <v>45</v>
      </c>
    </row>
    <row r="16" spans="1:10" ht="15" customHeight="1" x14ac:dyDescent="0.25">
      <c r="A16" s="12" t="s">
        <v>52</v>
      </c>
      <c r="B16" s="2" t="s">
        <v>53</v>
      </c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F17" s="2"/>
      <c r="G17" s="2"/>
      <c r="H17" s="2"/>
      <c r="I17" s="2"/>
      <c r="J17" s="2"/>
    </row>
  </sheetData>
  <autoFilter ref="A3:J13" xr:uid="{00000000-0009-0000-0000-000001000000}"/>
  <mergeCells count="2">
    <mergeCell ref="A1:J1"/>
    <mergeCell ref="B16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zoomScaleNormal="100" workbookViewId="0">
      <selection sqref="A1:G1"/>
    </sheetView>
  </sheetViews>
  <sheetFormatPr defaultColWidth="8.7109375" defaultRowHeight="15" customHeight="1" x14ac:dyDescent="0.25"/>
  <cols>
    <col min="1" max="1" width="18" customWidth="1"/>
    <col min="2" max="2" width="15" customWidth="1"/>
    <col min="3" max="3" width="18" customWidth="1"/>
    <col min="4" max="4" width="21" customWidth="1"/>
    <col min="5" max="5" width="25" customWidth="1"/>
    <col min="6" max="6" width="15" customWidth="1"/>
    <col min="7" max="7" width="14" customWidth="1"/>
  </cols>
  <sheetData>
    <row r="1" spans="1:7" ht="18" x14ac:dyDescent="0.25">
      <c r="A1" s="3" t="s">
        <v>54</v>
      </c>
      <c r="B1" s="3"/>
      <c r="C1" s="3"/>
      <c r="D1" s="3"/>
      <c r="E1" s="3"/>
      <c r="F1" s="3"/>
      <c r="G1" s="3"/>
    </row>
    <row r="3" spans="1:7" ht="29.25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</row>
    <row r="4" spans="1:7" x14ac:dyDescent="0.25">
      <c r="A4" s="14" t="s">
        <v>35</v>
      </c>
      <c r="B4" s="14" t="s">
        <v>16</v>
      </c>
      <c r="C4" s="14">
        <v>20</v>
      </c>
      <c r="D4" s="15">
        <v>2198.84</v>
      </c>
      <c r="E4" s="15">
        <f>IFERROR(INDEX('Rate Master'!$D$4:$D$7,MATCH(B4,'Rate Master'!$B$4:$B$7,0))+INDEX('Rate Master'!$E$4:$E$7,MATCH(B4,'Rate Master'!$B$4:$B$7,0))*MIN(C4,INDEX('Rate Master'!$F$4:$F$7,MATCH(B4,'Rate Master'!$B$4:$B$7,0))),0)</f>
        <v>2198.84</v>
      </c>
      <c r="F4" s="15">
        <f>E4-D4</f>
        <v>0</v>
      </c>
      <c r="G4" s="14" t="str">
        <f>IF(ABS(F4)&lt;0.01,"MATCH","CHECK")</f>
        <v>MATCH</v>
      </c>
    </row>
    <row r="5" spans="1:7" x14ac:dyDescent="0.25">
      <c r="A5" s="14" t="s">
        <v>39</v>
      </c>
      <c r="B5" s="14" t="s">
        <v>40</v>
      </c>
      <c r="C5" s="14">
        <v>20</v>
      </c>
      <c r="D5" s="15">
        <v>2602.44</v>
      </c>
      <c r="E5" s="15">
        <f>IFERROR(INDEX('Rate Master'!$D$4:$D$7,MATCH(B5,'Rate Master'!$B$4:$B$7,0))+INDEX('Rate Master'!$E$4:$E$7,MATCH(B5,'Rate Master'!$B$4:$B$7,0))*MIN(C5,INDEX('Rate Master'!$F$4:$F$7,MATCH(B5,'Rate Master'!$B$4:$B$7,0))),0)</f>
        <v>2602.44</v>
      </c>
      <c r="F5" s="15">
        <f>E5-D5</f>
        <v>0</v>
      </c>
      <c r="G5" s="14" t="str">
        <f>IF(ABS(F5)&lt;0.01,"MATCH","CHECK")</f>
        <v>MATCH</v>
      </c>
    </row>
    <row r="8" spans="1:7" ht="15" customHeight="1" x14ac:dyDescent="0.25">
      <c r="A8" s="1" t="s">
        <v>62</v>
      </c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mergeCells count="2">
    <mergeCell ref="A1:G1"/>
    <mergeCell ref="A8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zoomScaleNormal="100" workbookViewId="0">
      <selection sqref="A1:D1"/>
    </sheetView>
  </sheetViews>
  <sheetFormatPr defaultColWidth="8.7109375" defaultRowHeight="15" customHeight="1" x14ac:dyDescent="0.25"/>
  <cols>
    <col min="1" max="1" width="10" customWidth="1"/>
    <col min="2" max="2" width="25" customWidth="1"/>
    <col min="3" max="3" width="105" customWidth="1"/>
  </cols>
  <sheetData>
    <row r="1" spans="1:4" ht="18" x14ac:dyDescent="0.25">
      <c r="A1" s="3" t="s">
        <v>63</v>
      </c>
      <c r="B1" s="3"/>
      <c r="C1" s="3"/>
      <c r="D1" s="3"/>
    </row>
    <row r="3" spans="1:4" x14ac:dyDescent="0.25">
      <c r="A3" s="16" t="s">
        <v>64</v>
      </c>
      <c r="B3" s="16" t="s">
        <v>65</v>
      </c>
      <c r="C3" s="16" t="s">
        <v>66</v>
      </c>
    </row>
    <row r="4" spans="1:4" x14ac:dyDescent="0.25">
      <c r="A4" s="17" t="s">
        <v>67</v>
      </c>
      <c r="B4" s="17" t="s">
        <v>68</v>
      </c>
      <c r="C4" s="17" t="s">
        <v>69</v>
      </c>
    </row>
    <row r="5" spans="1:4" x14ac:dyDescent="0.25">
      <c r="A5" s="17" t="s">
        <v>70</v>
      </c>
      <c r="B5" s="17" t="s">
        <v>71</v>
      </c>
      <c r="C5" s="17" t="s">
        <v>72</v>
      </c>
    </row>
    <row r="6" spans="1:4" x14ac:dyDescent="0.25">
      <c r="A6" s="17" t="s">
        <v>73</v>
      </c>
      <c r="B6" s="17" t="s">
        <v>74</v>
      </c>
      <c r="C6" s="17" t="s">
        <v>75</v>
      </c>
    </row>
    <row r="7" spans="1:4" x14ac:dyDescent="0.25">
      <c r="A7" s="17" t="s">
        <v>76</v>
      </c>
      <c r="B7" s="17" t="s">
        <v>77</v>
      </c>
      <c r="C7" s="17" t="s">
        <v>78</v>
      </c>
    </row>
    <row r="8" spans="1:4" x14ac:dyDescent="0.25">
      <c r="A8" s="17" t="s">
        <v>79</v>
      </c>
      <c r="B8" s="17" t="s">
        <v>80</v>
      </c>
      <c r="C8" s="17" t="s">
        <v>81</v>
      </c>
    </row>
    <row r="9" spans="1:4" ht="30" x14ac:dyDescent="0.25">
      <c r="A9" s="17" t="s">
        <v>82</v>
      </c>
      <c r="B9" s="17" t="s">
        <v>13</v>
      </c>
      <c r="C9" s="17" t="s">
        <v>83</v>
      </c>
    </row>
    <row r="10" spans="1:4" x14ac:dyDescent="0.25">
      <c r="A10" s="17" t="s">
        <v>84</v>
      </c>
      <c r="B10" s="17" t="s">
        <v>85</v>
      </c>
      <c r="C10" s="17" t="s">
        <v>86</v>
      </c>
    </row>
    <row r="11" spans="1:4" x14ac:dyDescent="0.25">
      <c r="A11" s="17" t="s">
        <v>87</v>
      </c>
      <c r="B11" s="17" t="s">
        <v>88</v>
      </c>
      <c r="C11" s="17" t="s">
        <v>89</v>
      </c>
    </row>
    <row r="12" spans="1:4" ht="30" x14ac:dyDescent="0.25">
      <c r="A12" s="17" t="s">
        <v>90</v>
      </c>
      <c r="B12" s="17" t="s">
        <v>91</v>
      </c>
      <c r="C12" s="17" t="s">
        <v>92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Rate Master</vt:lpstr>
      <vt:lpstr>CRM Check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 Kushida</cp:lastModifiedBy>
  <dcterms:modified xsi:type="dcterms:W3CDTF">2026-09-24T08:34:15Z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2026-09-24T08:31:44Z</dcterms:created>
  <dc:creator>openpyxl</dc:creator>
  <dc:description/>
  <dc:language>en-US</dc:language>
  <cp:lastModifiedBy/>
  <dcterms:modified xsi:type="dcterms:W3CDTF">2026-09-24T08:31:44Z</dcterms:modified>
  <cp:revision>0</cp:revision>
  <dc:subject/>
  <dc:title/>
</cp:coreProperties>
</file>