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  &quot;MT&quot;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0000"/>
      <sz val="11"/>
    </font>
    <font>
      <name val="Segoe UI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2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pivotButton="0" quotePrefix="0" xfId="0"/>
    <xf numFmtId="2" fontId="9" fillId="7" borderId="1" pivotButton="0" quotePrefix="0" xfId="0"/>
    <xf numFmtId="165" fontId="9" fillId="7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2" fontId="9" fillId="8" borderId="1" pivotButton="0" quotePrefix="0" xfId="0"/>
    <xf numFmtId="165" fontId="9" fillId="8" borderId="1" pivotButton="0" quotePrefix="0" xfId="0"/>
    <xf numFmtId="0" fontId="8" fillId="9" borderId="1" pivotButton="0" quotePrefix="0" xfId="0"/>
    <xf numFmtId="2" fontId="8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0" fontId="10" fillId="10" borderId="1" pivotButton="0" quotePrefix="0" xfId="0"/>
    <xf numFmtId="165" fontId="10" fillId="10" borderId="1" applyAlignment="1" pivotButton="0" quotePrefix="0" xfId="0">
      <alignment horizontal="center" vertical="center"/>
    </xf>
    <xf numFmtId="0" fontId="10" fillId="11" borderId="1" pivotButton="0" quotePrefix="0" xfId="0"/>
    <xf numFmtId="165" fontId="10" fillId="11" borderId="1" applyAlignment="1" pivotButton="0" quotePrefix="0" xfId="0">
      <alignment horizontal="center" vertical="center"/>
    </xf>
    <xf numFmtId="0" fontId="8" fillId="11" borderId="1" pivotButton="0" quotePrefix="0" xfId="0"/>
    <xf numFmtId="165" fontId="8" fillId="11" borderId="1" applyAlignment="1" pivotButton="0" quotePrefix="0" xfId="0">
      <alignment horizontal="center" vertical="center"/>
    </xf>
    <xf numFmtId="0" fontId="11" fillId="12" borderId="1" pivotButton="0" quotePrefix="0" xfId="0"/>
    <xf numFmtId="166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  |  Type: NSC  |  Date: 19-05-2026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s="3" t="n">
        <v>1</v>
      </c>
      <c r="E6" t="inlineStr">
        <is>
          <t>NOS</t>
        </is>
      </c>
      <c r="F6" s="4" t="n">
        <v>143.95</v>
      </c>
      <c r="G6" s="4">
        <f>ROUND(D6*F6, 2)</f>
        <v/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s="3" t="n">
        <v>5</v>
      </c>
      <c r="E7" t="inlineStr">
        <is>
          <t>NOS</t>
        </is>
      </c>
      <c r="F7" s="4" t="n">
        <v>367.98</v>
      </c>
      <c r="G7" s="4">
        <f>ROUND(D7*F7, 2)</f>
        <v/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s="5" t="n">
        <v>0.015</v>
      </c>
      <c r="E8" t="inlineStr">
        <is>
          <t>MT</t>
        </is>
      </c>
      <c r="F8" s="4" t="n">
        <v>136865.98</v>
      </c>
      <c r="G8" s="4">
        <f>ROUND(D8*F8, 2)</f>
        <v/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s="3" t="n">
        <v>4</v>
      </c>
      <c r="E9" t="inlineStr">
        <is>
          <t>SET</t>
        </is>
      </c>
      <c r="F9" s="4" t="n">
        <v>795.83</v>
      </c>
      <c r="G9" s="4">
        <f>ROUND(D9*F9, 2)</f>
        <v/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s="5" t="n">
        <v>0.025</v>
      </c>
      <c r="E10" t="inlineStr">
        <is>
          <t>MT</t>
        </is>
      </c>
      <c r="F10" s="4" t="n">
        <v>142310.93</v>
      </c>
      <c r="G10" s="4">
        <f>ROUND(D10*F10, 2)</f>
        <v/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s="3" t="n">
        <v>4</v>
      </c>
      <c r="E11" t="inlineStr">
        <is>
          <t>NOS</t>
        </is>
      </c>
      <c r="F11" s="4" t="n">
        <v>52.24</v>
      </c>
      <c r="G11" s="4">
        <f>ROUND(D11*F11, 2)</f>
        <v/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s="3" t="n">
        <v>2</v>
      </c>
      <c r="E12" t="inlineStr">
        <is>
          <t>NOS</t>
        </is>
      </c>
      <c r="F12" s="4" t="n">
        <v>10198.28</v>
      </c>
      <c r="G12" s="4">
        <f>ROUND(D12*F12, 2)</f>
        <v/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s="5" t="n">
        <v>0.065</v>
      </c>
      <c r="E13" t="inlineStr">
        <is>
          <t>MT</t>
        </is>
      </c>
      <c r="F13" s="4" t="n">
        <v>110043.09</v>
      </c>
      <c r="G13" s="4">
        <f>ROUND(D13*F13, 2)</f>
        <v/>
      </c>
    </row>
    <row r="14">
      <c r="A14" t="n">
        <v>9</v>
      </c>
      <c r="B14" t="inlineStr">
        <is>
          <t>0102010911</t>
        </is>
      </c>
      <c r="C14" t="inlineStr">
        <is>
          <t>M.S Channel 100X50 mm</t>
        </is>
      </c>
      <c r="D14" s="5" t="n">
        <v>0.049</v>
      </c>
      <c r="E14" t="inlineStr">
        <is>
          <t>MT</t>
        </is>
      </c>
      <c r="F14" s="4" t="n">
        <v>109813.95</v>
      </c>
      <c r="G14" s="4">
        <f>ROUND(D14*F14, 2)</f>
        <v/>
      </c>
    </row>
    <row r="15">
      <c r="A15" t="n">
        <v>10</v>
      </c>
      <c r="B15" t="inlineStr">
        <is>
          <t>0101011311</t>
        </is>
      </c>
      <c r="C15" t="inlineStr">
        <is>
          <t>M.S Angle 65X65X6mm</t>
        </is>
      </c>
      <c r="D15" s="5" t="n">
        <v>0.1</v>
      </c>
      <c r="E15" t="inlineStr">
        <is>
          <t>MT</t>
        </is>
      </c>
      <c r="F15" s="4" t="n">
        <v>108667.24</v>
      </c>
      <c r="G15" s="4">
        <f>ROUND(D15*F15, 2)</f>
        <v/>
      </c>
    </row>
    <row r="16">
      <c r="A16" t="n">
        <v>11</v>
      </c>
      <c r="B16" t="inlineStr">
        <is>
          <t>0103011511</t>
        </is>
      </c>
      <c r="C16" t="inlineStr">
        <is>
          <t>M.S Flat 65X6 mm</t>
        </is>
      </c>
      <c r="D16" s="5" t="n">
        <v>0.043</v>
      </c>
      <c r="E16" t="inlineStr">
        <is>
          <t>MT</t>
        </is>
      </c>
      <c r="F16" s="4" t="n">
        <v>117493.74</v>
      </c>
      <c r="G16" s="4">
        <f>ROUND(D16*F16, 2)</f>
        <v/>
      </c>
    </row>
    <row r="17">
      <c r="A17" t="n">
        <v>12</v>
      </c>
      <c r="B17" t="inlineStr">
        <is>
          <t>0508011141</t>
        </is>
      </c>
      <c r="C17" t="inlineStr">
        <is>
          <t>11 KV Polymer Composite Pin Insulator 5KN 320MM CD</t>
        </is>
      </c>
      <c r="D17" s="3" t="n">
        <v>9</v>
      </c>
      <c r="E17" t="inlineStr">
        <is>
          <t>NOS</t>
        </is>
      </c>
      <c r="F17" s="4" t="n">
        <v>243.79</v>
      </c>
      <c r="G17" s="4">
        <f>ROUND(D17*F17, 2)</f>
        <v/>
      </c>
    </row>
    <row r="18">
      <c r="A18" t="n">
        <v>13</v>
      </c>
      <c r="B18" t="inlineStr">
        <is>
          <t>0502010921</t>
        </is>
      </c>
      <c r="C18" t="inlineStr">
        <is>
          <t>ACSR Conductor 50SQMM (Rabbit)</t>
        </is>
      </c>
      <c r="D18" s="5" t="n">
        <v>0.031</v>
      </c>
      <c r="E18" t="inlineStr">
        <is>
          <t>KM</t>
        </is>
      </c>
      <c r="F18" s="4" t="n">
        <v>62290.12</v>
      </c>
      <c r="G18" s="4">
        <f>ROUND(D18*F18, 2)</f>
        <v/>
      </c>
    </row>
    <row r="19">
      <c r="A19" t="n">
        <v>14</v>
      </c>
      <c r="B19" t="inlineStr">
        <is>
          <t>0309010841</t>
        </is>
      </c>
      <c r="C19" t="inlineStr">
        <is>
          <t>Lightning Arrestor 12KV 5KA Porcelain Gapless Type 11KV</t>
        </is>
      </c>
      <c r="D19" s="3" t="n">
        <v>3</v>
      </c>
      <c r="E19" t="inlineStr">
        <is>
          <t>NOS</t>
        </is>
      </c>
      <c r="F19" s="4" t="n">
        <v>524.23</v>
      </c>
      <c r="G19" s="4">
        <f>ROUND(D19*F19, 2)</f>
        <v/>
      </c>
    </row>
    <row r="20">
      <c r="A20" t="n">
        <v>15</v>
      </c>
      <c r="B20" t="inlineStr">
        <is>
          <t>0304010532</t>
        </is>
      </c>
      <c r="C20" t="inlineStr">
        <is>
          <t>T.P.G.O. Isolator 11KV 200 AMP</t>
        </is>
      </c>
      <c r="D20" s="3" t="n">
        <v>1</v>
      </c>
      <c r="E20" t="inlineStr">
        <is>
          <t>SET</t>
        </is>
      </c>
      <c r="F20" s="4" t="n">
        <v>10384.98</v>
      </c>
      <c r="G20" s="4">
        <f>ROUND(D20*F20, 2)</f>
        <v/>
      </c>
    </row>
    <row r="21">
      <c r="A21" t="n">
        <v>16</v>
      </c>
      <c r="B21" t="inlineStr">
        <is>
          <t>0912011441</t>
        </is>
      </c>
      <c r="C21" t="inlineStr">
        <is>
          <t>G.I. Turn Buckle 18x5/8"</t>
        </is>
      </c>
      <c r="D21" s="3" t="n">
        <v>2</v>
      </c>
      <c r="E21" t="inlineStr">
        <is>
          <t>NOS</t>
        </is>
      </c>
      <c r="F21" s="4" t="n">
        <v>182.36</v>
      </c>
      <c r="G21" s="4">
        <f>ROUND(D21*F21, 2)</f>
        <v/>
      </c>
    </row>
    <row r="22">
      <c r="A22" t="n">
        <v>17</v>
      </c>
      <c r="B22" t="inlineStr">
        <is>
          <t>0501017821</t>
        </is>
      </c>
      <c r="C22" t="inlineStr">
        <is>
          <t>CABLE (PVC 1.1KV GRADE) 4CX25SQMM</t>
        </is>
      </c>
      <c r="D22" s="5" t="n">
        <v>0.01</v>
      </c>
      <c r="E22" t="inlineStr">
        <is>
          <t>KM</t>
        </is>
      </c>
      <c r="F22" s="4" t="n">
        <v>229429.95</v>
      </c>
      <c r="G22" s="4">
        <f>ROUND(D22*F22, 2)</f>
        <v/>
      </c>
    </row>
    <row r="23">
      <c r="A23" t="n">
        <v>18</v>
      </c>
      <c r="B23" t="inlineStr">
        <is>
          <t>0301018141</t>
        </is>
      </c>
      <c r="C23" t="inlineStr">
        <is>
          <t>DTR 25KVA 11/0.433KV</t>
        </is>
      </c>
      <c r="D23" s="3" t="n">
        <v>1</v>
      </c>
      <c r="E23" t="inlineStr">
        <is>
          <t>NOS</t>
        </is>
      </c>
      <c r="F23" s="4" t="n">
        <v>103528.11</v>
      </c>
      <c r="G23" s="4">
        <f>ROUND(D23*F23, 2)</f>
        <v/>
      </c>
    </row>
    <row r="24">
      <c r="A24" t="n">
        <v>19</v>
      </c>
      <c r="B24" t="inlineStr">
        <is>
          <t>0407010641</t>
        </is>
      </c>
      <c r="C24" t="inlineStr">
        <is>
          <t>LT Distribution KIOSK For 25KVA DTR</t>
        </is>
      </c>
      <c r="D24" s="3" t="n">
        <v>1</v>
      </c>
      <c r="E24" t="inlineStr">
        <is>
          <t>NOS</t>
        </is>
      </c>
      <c r="F24" s="4" t="n">
        <v>8878.41</v>
      </c>
      <c r="G24" s="4">
        <f>ROUND(D24*F24, 2)</f>
        <v/>
      </c>
    </row>
    <row r="25">
      <c r="A25" t="inlineStr"/>
      <c r="B25" t="inlineStr"/>
      <c r="C25" t="inlineStr">
        <is>
          <t>Material Base Total</t>
        </is>
      </c>
      <c r="D25" t="inlineStr"/>
      <c r="E25" t="inlineStr"/>
      <c r="F25" t="inlineStr"/>
      <c r="G25" s="4">
        <f>ROUND(SUM(G6:G24), 2)</f>
        <v/>
      </c>
    </row>
    <row r="26">
      <c r="A26" t="inlineStr"/>
      <c r="B26" t="inlineStr"/>
      <c r="C26" t="inlineStr">
        <is>
          <t>Add: Escalation @ 5% for FY 24-25</t>
        </is>
      </c>
      <c r="D26" t="inlineStr"/>
      <c r="E26" t="inlineStr"/>
      <c r="F26" t="inlineStr"/>
      <c r="G26" s="4">
        <f>ROUND((G25)*0.05, 2)</f>
        <v/>
      </c>
    </row>
    <row r="27">
      <c r="A27" t="inlineStr"/>
      <c r="B27" t="inlineStr"/>
      <c r="C27" t="inlineStr">
        <is>
          <t>Add: Escalation @ 5% for FY 25-26</t>
        </is>
      </c>
      <c r="D27" t="inlineStr"/>
      <c r="E27" t="inlineStr"/>
      <c r="F27" t="inlineStr"/>
      <c r="G27" s="4">
        <f>ROUND((G25+G26)*0.05, 2)</f>
        <v/>
      </c>
    </row>
    <row r="28">
      <c r="A28" t="inlineStr"/>
      <c r="B28" t="inlineStr"/>
      <c r="C28" t="inlineStr">
        <is>
          <t>Add: Escalation @ 5% for FY 26-27</t>
        </is>
      </c>
      <c r="D28" t="inlineStr"/>
      <c r="E28" t="inlineStr"/>
      <c r="F28" t="inlineStr"/>
      <c r="G28" s="4">
        <f>ROUND((G25+G26+G27)*0.05, 2)</f>
        <v/>
      </c>
    </row>
    <row r="29">
      <c r="A29" t="inlineStr"/>
      <c r="B29" t="inlineStr"/>
      <c r="C29" t="inlineStr">
        <is>
          <t>Add: Sundries @ 5%</t>
        </is>
      </c>
      <c r="D29" t="inlineStr"/>
      <c r="E29" t="inlineStr"/>
      <c r="F29" t="inlineStr"/>
      <c r="G29" s="4">
        <f>ROUND((G25+G26+G27+G28)*0.05, 2)</f>
        <v/>
      </c>
    </row>
    <row r="30">
      <c r="A30" t="inlineStr"/>
      <c r="B30" t="inlineStr"/>
      <c r="C30" s="2" t="inlineStr">
        <is>
          <t>TOTAL MATERIAL COST (A)</t>
        </is>
      </c>
      <c r="D30" t="inlineStr"/>
      <c r="E30" t="inlineStr"/>
      <c r="F30" t="inlineStr"/>
      <c r="G30" s="6">
        <f>ROUND(G25+G26+G27+G28+G29, 2)</f>
        <v/>
      </c>
    </row>
    <row r="32">
      <c r="C32" s="2" t="inlineStr">
        <is>
          <t>B. ERECTION / LABOR</t>
        </is>
      </c>
    </row>
    <row r="33">
      <c r="A33" t="n">
        <v>1</v>
      </c>
      <c r="B33" t="inlineStr"/>
      <c r="C33" t="inlineStr">
        <is>
          <t>Pole GIS Survey</t>
        </is>
      </c>
      <c r="D33" s="3" t="n">
        <v>1</v>
      </c>
      <c r="E33" t="inlineStr">
        <is>
          <t>NOS</t>
        </is>
      </c>
      <c r="F33" s="4" t="n">
        <v>31</v>
      </c>
      <c r="G33" s="4">
        <f>ROUND(D33*F33, 2)</f>
        <v/>
      </c>
    </row>
    <row r="34">
      <c r="A34" t="n">
        <v>2</v>
      </c>
      <c r="B34" t="inlineStr"/>
      <c r="C34" t="inlineStr">
        <is>
          <t>Fixing of Caution Board</t>
        </is>
      </c>
      <c r="D34" s="3" t="n">
        <v>1</v>
      </c>
      <c r="E34" t="inlineStr">
        <is>
          <t>NOS</t>
        </is>
      </c>
      <c r="F34" s="4" t="n">
        <v>24</v>
      </c>
      <c r="G34" s="4">
        <f>ROUND(D34*F34, 2)</f>
        <v/>
      </c>
    </row>
    <row r="35">
      <c r="A35" t="n">
        <v>3</v>
      </c>
      <c r="B35" t="inlineStr"/>
      <c r="C35" t="inlineStr">
        <is>
          <t>Earthing Complete</t>
        </is>
      </c>
      <c r="D35" s="3" t="n">
        <v>5</v>
      </c>
      <c r="E35" t="inlineStr">
        <is>
          <t>NOS</t>
        </is>
      </c>
      <c r="F35" s="4" t="n">
        <v>313</v>
      </c>
      <c r="G35" s="4">
        <f>ROUND(D35*F35, 2)</f>
        <v/>
      </c>
    </row>
    <row r="36">
      <c r="A36" t="n">
        <v>4</v>
      </c>
      <c r="B36" t="inlineStr"/>
      <c r="C36" t="inlineStr">
        <is>
          <t>H.T. Stay Set Complete Labour</t>
        </is>
      </c>
      <c r="D36" s="3" t="n">
        <v>4</v>
      </c>
      <c r="E36" t="inlineStr">
        <is>
          <t>SET</t>
        </is>
      </c>
      <c r="F36" s="4" t="n">
        <v>641</v>
      </c>
      <c r="G36" s="4">
        <f>ROUND(D36*F36, 2)</f>
        <v/>
      </c>
    </row>
    <row r="37">
      <c r="A37" t="n">
        <v>5</v>
      </c>
      <c r="B37" t="inlineStr"/>
      <c r="C37" t="inlineStr">
        <is>
          <t>Erection of S/S DP Structure 9MTR PCC Pole Without Painted</t>
        </is>
      </c>
      <c r="D37" s="3" t="n">
        <v>1</v>
      </c>
      <c r="E37" t="inlineStr">
        <is>
          <t>NOS</t>
        </is>
      </c>
      <c r="F37" s="4" t="n">
        <v>13169</v>
      </c>
      <c r="G37" s="4">
        <f>ROUND(D37*F37, 2)</f>
        <v/>
      </c>
    </row>
    <row r="38">
      <c r="A38" t="n">
        <v>6</v>
      </c>
      <c r="B38" t="inlineStr"/>
      <c r="C38" t="inlineStr">
        <is>
          <t>Fixing of 11KV Pin Insulator</t>
        </is>
      </c>
      <c r="D38" s="3" t="n">
        <v>9</v>
      </c>
      <c r="E38" t="inlineStr">
        <is>
          <t>NOS</t>
        </is>
      </c>
      <c r="F38" s="4" t="n">
        <v>63</v>
      </c>
      <c r="G38" s="4">
        <f>ROUND(D38*F38, 2)</f>
        <v/>
      </c>
    </row>
    <row r="39">
      <c r="A39" t="n">
        <v>7</v>
      </c>
      <c r="B39" t="inlineStr"/>
      <c r="C39" t="inlineStr">
        <is>
          <t>Fixing of 11KV Lightning Arrestor on Structure</t>
        </is>
      </c>
      <c r="D39" s="3" t="n">
        <v>1</v>
      </c>
      <c r="E39" t="inlineStr">
        <is>
          <t>SET</t>
        </is>
      </c>
      <c r="F39" s="4" t="n">
        <v>339</v>
      </c>
      <c r="G39" s="4">
        <f>ROUND(D39*F39, 2)</f>
        <v/>
      </c>
    </row>
    <row r="40">
      <c r="A40" t="n">
        <v>8</v>
      </c>
      <c r="B40" t="inlineStr"/>
      <c r="C40" t="inlineStr">
        <is>
          <t>Fixing of 11KV TPGO Isolator on S/Stn Structure</t>
        </is>
      </c>
      <c r="D40" s="3" t="n">
        <v>1</v>
      </c>
      <c r="E40" t="inlineStr">
        <is>
          <t>SET</t>
        </is>
      </c>
      <c r="F40" s="4" t="n">
        <v>1193</v>
      </c>
      <c r="G40" s="4">
        <f>ROUND(D40*F40, 2)</f>
        <v/>
      </c>
    </row>
    <row r="41">
      <c r="A41" t="n">
        <v>9</v>
      </c>
      <c r="B41" t="inlineStr"/>
      <c r="C41" t="inlineStr">
        <is>
          <t>Fixing of Neutral Earthing of DTR with G</t>
        </is>
      </c>
      <c r="D41" s="3" t="n">
        <v>1</v>
      </c>
      <c r="E41" t="inlineStr">
        <is>
          <t>NOS</t>
        </is>
      </c>
      <c r="F41" s="4" t="n">
        <v>3816</v>
      </c>
      <c r="G41" s="4">
        <f>ROUND(D41*F41, 2)</f>
        <v/>
      </c>
    </row>
    <row r="42">
      <c r="A42" t="n">
        <v>10</v>
      </c>
      <c r="B42" t="inlineStr"/>
      <c r="C42" t="inlineStr">
        <is>
          <t>Erection of 25KVA DTR</t>
        </is>
      </c>
      <c r="D42" s="3" t="n">
        <v>1</v>
      </c>
      <c r="E42" t="inlineStr">
        <is>
          <t>NOS</t>
        </is>
      </c>
      <c r="F42" s="4" t="n">
        <v>1925</v>
      </c>
      <c r="G42" s="4">
        <f>ROUND(D42*F42, 2)</f>
        <v/>
      </c>
    </row>
    <row r="43">
      <c r="A43" t="n">
        <v>11</v>
      </c>
      <c r="B43" t="inlineStr"/>
      <c r="C43" t="inlineStr">
        <is>
          <t>Fixing of LT Distribution KIOSK Single Switch</t>
        </is>
      </c>
      <c r="D43" s="3" t="n">
        <v>1</v>
      </c>
      <c r="E43" t="inlineStr">
        <is>
          <t>NOS</t>
        </is>
      </c>
      <c r="F43" s="4" t="n">
        <v>2155</v>
      </c>
      <c r="G43" s="4">
        <f>ROUND(D43*F43, 2)</f>
        <v/>
      </c>
    </row>
    <row r="44">
      <c r="A44" t="n">
        <v>12</v>
      </c>
      <c r="B44" t="inlineStr"/>
      <c r="C44" t="inlineStr">
        <is>
          <t>DTR Code Painting</t>
        </is>
      </c>
      <c r="D44" s="3" t="n">
        <v>1</v>
      </c>
      <c r="E44" t="inlineStr">
        <is>
          <t>NOS</t>
        </is>
      </c>
      <c r="F44" s="4" t="n">
        <v>65</v>
      </c>
      <c r="G44" s="4">
        <f>ROUND(D44*F44, 2)</f>
        <v/>
      </c>
    </row>
    <row r="45">
      <c r="A45" t="inlineStr"/>
      <c r="B45" t="inlineStr"/>
      <c r="C45" s="2" t="inlineStr">
        <is>
          <t>TOTAL LABOR COST (B)</t>
        </is>
      </c>
      <c r="D45" t="inlineStr"/>
      <c r="E45" t="inlineStr"/>
      <c r="F45" t="inlineStr"/>
      <c r="G45" s="6">
        <f>ROUND(SUM(G33:G44), 2)</f>
        <v/>
      </c>
    </row>
    <row r="47">
      <c r="C47" s="2" t="inlineStr">
        <is>
          <t>C. OVERHEADS &amp; TAXES</t>
        </is>
      </c>
    </row>
    <row r="48">
      <c r="A48" t="inlineStr"/>
      <c r="B48" t="inlineStr"/>
      <c r="C48" t="inlineStr">
        <is>
          <t>Supervision @ 10% on (A+B)</t>
        </is>
      </c>
      <c r="D48" t="inlineStr"/>
      <c r="E48" t="inlineStr"/>
      <c r="F48" t="inlineStr"/>
      <c r="G48" s="4">
        <f>ROUND((G30+G45)*0.1, 2)</f>
        <v/>
      </c>
    </row>
    <row r="49">
      <c r="A49" t="inlineStr"/>
      <c r="B49" t="inlineStr"/>
      <c r="C49" t="inlineStr">
        <is>
          <t>GST @ 18% on Labour only</t>
        </is>
      </c>
      <c r="D49" t="inlineStr"/>
      <c r="E49" t="inlineStr"/>
      <c r="F49" t="inlineStr"/>
      <c r="G49" s="4">
        <f>ROUND(G45*0.18, 2)</f>
        <v/>
      </c>
    </row>
    <row r="50">
      <c r="A50" t="inlineStr"/>
      <c r="B50" t="inlineStr"/>
      <c r="C50" t="inlineStr">
        <is>
          <t>Sub-Total</t>
        </is>
      </c>
      <c r="D50" t="inlineStr"/>
      <c r="E50" t="inlineStr"/>
      <c r="F50" t="inlineStr"/>
      <c r="G50" s="4">
        <f>ROUND(G30+G45+G48+G49, 2)</f>
        <v/>
      </c>
    </row>
    <row r="51">
      <c r="A51" t="inlineStr"/>
      <c r="B51" t="inlineStr"/>
      <c r="C51" t="inlineStr">
        <is>
          <t>Add: Cess @ 1% on (Mat+Lab+Sup)</t>
        </is>
      </c>
      <c r="D51" t="inlineStr"/>
      <c r="E51" t="inlineStr"/>
      <c r="F51" t="inlineStr"/>
      <c r="G51" s="4">
        <f>ROUND((G30+G45+G48)*0.01, 2)</f>
        <v/>
      </c>
    </row>
    <row r="52">
      <c r="A52" t="inlineStr"/>
      <c r="B52" t="inlineStr"/>
      <c r="C52" s="7" t="inlineStr">
        <is>
          <t>GRAND TOTAL</t>
        </is>
      </c>
      <c r="D52" t="inlineStr"/>
      <c r="E52" t="inlineStr"/>
      <c r="F52" t="inlineStr"/>
      <c r="G52" s="8">
        <f>ROUND(G50+G51, 2)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7" customWidth="1" min="3" max="3"/>
    <col width="15" customWidth="1" min="4" max="4"/>
    <col width="11" customWidth="1" min="5" max="5"/>
    <col width="13" customWidth="1" min="6" max="6"/>
  </cols>
  <sheetData>
    <row r="1" ht="30" customHeight="1">
      <c r="A1" s="9" t="inlineStr">
        <is>
          <t>IRON CALCULATION BREAKUP</t>
        </is>
      </c>
    </row>
    <row r="2" ht="18" customHeight="1">
      <c r="A2" s="10" t="inlineStr">
        <is>
          <t>No.</t>
        </is>
      </c>
      <c r="B2" s="11" t="inlineStr">
        <is>
          <t>Description</t>
        </is>
      </c>
      <c r="C2" s="10" t="inlineStr">
        <is>
          <t>No</t>
        </is>
      </c>
      <c r="D2" s="10" t="inlineStr">
        <is>
          <t>Length (m)</t>
        </is>
      </c>
      <c r="E2" s="10" t="inlineStr">
        <is>
          <t>Total (m)</t>
        </is>
      </c>
      <c r="F2" s="10" t="inlineStr">
        <is>
          <t>Iron (MT)</t>
        </is>
      </c>
    </row>
    <row r="3" ht="22" customHeight="1">
      <c r="A3" s="12" t="inlineStr">
        <is>
          <t>A</t>
        </is>
      </c>
      <c r="B3" s="13" t="inlineStr">
        <is>
          <t>M.S. Channel (75X40mm)  —  6.8 kg/m</t>
        </is>
      </c>
      <c r="C3" s="14" t="n"/>
      <c r="D3" s="14" t="n"/>
      <c r="E3" s="15" t="n"/>
      <c r="F3" s="12" t="inlineStr">
        <is>
          <t>Iron (MT)</t>
        </is>
      </c>
    </row>
    <row r="4" ht="18" customHeight="1">
      <c r="A4" s="16" t="n"/>
      <c r="B4" s="16" t="inlineStr">
        <is>
          <t xml:space="preserve">  ↳  DTR Substation Iron  (1 nos on canvas)</t>
        </is>
      </c>
      <c r="C4" s="14" t="n"/>
      <c r="D4" s="14" t="n"/>
      <c r="E4" s="14" t="n"/>
      <c r="F4" s="15" t="n"/>
    </row>
    <row r="5" ht="17" customHeight="1">
      <c r="A5" s="17" t="n">
        <v>1</v>
      </c>
      <c r="B5" s="18" t="inlineStr">
        <is>
          <t>Sub-Stn Top</t>
        </is>
      </c>
      <c r="C5" s="17" t="n">
        <v>1</v>
      </c>
      <c r="D5" s="18">
        <f>2*2.25</f>
        <v/>
      </c>
      <c r="E5" s="19">
        <f>C5*D5</f>
        <v/>
      </c>
      <c r="F5" s="20">
        <f>ROUND(E5*6.8/1000,6)</f>
        <v/>
      </c>
    </row>
    <row r="6" ht="17" customHeight="1">
      <c r="A6" s="21" t="n">
        <v>2</v>
      </c>
      <c r="B6" s="22" t="inlineStr">
        <is>
          <t>Isolator Support</t>
        </is>
      </c>
      <c r="C6" s="21" t="n">
        <v>1</v>
      </c>
      <c r="D6" s="22">
        <f>2*2.25</f>
        <v/>
      </c>
      <c r="E6" s="23">
        <f>C6*D6</f>
        <v/>
      </c>
      <c r="F6" s="24">
        <f>ROUND(E6*6.8/1000,6)</f>
        <v/>
      </c>
    </row>
    <row r="7" ht="17" customHeight="1">
      <c r="A7" s="17" t="n">
        <v>3</v>
      </c>
      <c r="B7" s="18" t="inlineStr">
        <is>
          <t>Transformer Base</t>
        </is>
      </c>
      <c r="C7" s="17" t="n">
        <v>1</v>
      </c>
      <c r="D7" s="18">
        <f>2*2.25</f>
        <v/>
      </c>
      <c r="E7" s="19">
        <f>C7*D7</f>
        <v/>
      </c>
      <c r="F7" s="20">
        <f>ROUND(E7*6.8/1000,6)</f>
        <v/>
      </c>
    </row>
    <row r="8" ht="17" customHeight="1">
      <c r="A8" s="21" t="n">
        <v>4</v>
      </c>
      <c r="B8" s="22" t="inlineStr">
        <is>
          <t>I-Bolt &amp; Handle</t>
        </is>
      </c>
      <c r="C8" s="21" t="n">
        <v>1</v>
      </c>
      <c r="D8" s="22">
        <f>2*0.5</f>
        <v/>
      </c>
      <c r="E8" s="23">
        <f>C8*D8</f>
        <v/>
      </c>
      <c r="F8" s="24">
        <f>ROUND(E8*6.8/1000,6)</f>
        <v/>
      </c>
    </row>
    <row r="9" ht="18" customHeight="1">
      <c r="A9" s="25" t="n"/>
      <c r="B9" s="25" t="inlineStr">
        <is>
          <t xml:space="preserve">  Iron Total — DTR Substation Iron</t>
        </is>
      </c>
      <c r="C9" s="25" t="n"/>
      <c r="D9" s="25" t="n"/>
      <c r="E9" s="26">
        <f>SUM(E5:E8)</f>
        <v/>
      </c>
      <c r="F9" s="27">
        <f>SUM(F5:F8)</f>
        <v/>
      </c>
    </row>
    <row r="10" ht="20" customHeight="1">
      <c r="A10" s="28" t="n"/>
      <c r="B10" s="28" t="inlineStr">
        <is>
          <t>Section Total — M.S. Channel (75X40mm)</t>
        </is>
      </c>
      <c r="C10" s="28" t="n"/>
      <c r="D10" s="28" t="n"/>
      <c r="E10" s="28" t="n"/>
      <c r="F10" s="29">
        <f>ROUND(F9,4)</f>
        <v/>
      </c>
    </row>
    <row r="12" ht="22" customHeight="1">
      <c r="A12" s="12" t="inlineStr">
        <is>
          <t>B</t>
        </is>
      </c>
      <c r="B12" s="13" t="inlineStr">
        <is>
          <t>M.S. Angle (65X65X6mm)  —  5.8 kg/m</t>
        </is>
      </c>
      <c r="C12" s="14" t="n"/>
      <c r="D12" s="14" t="n"/>
      <c r="E12" s="15" t="n"/>
      <c r="F12" s="12" t="inlineStr">
        <is>
          <t>Iron (MT)</t>
        </is>
      </c>
    </row>
    <row r="13" ht="18" customHeight="1">
      <c r="A13" s="16" t="n"/>
      <c r="B13" s="16" t="inlineStr">
        <is>
          <t xml:space="preserve">  ↳  DTR Substation Iron  (1 nos on canvas)</t>
        </is>
      </c>
      <c r="C13" s="14" t="n"/>
      <c r="D13" s="14" t="n"/>
      <c r="E13" s="14" t="n"/>
      <c r="F13" s="15" t="n"/>
    </row>
    <row r="14" ht="17" customHeight="1">
      <c r="A14" s="17" t="n">
        <v>1</v>
      </c>
      <c r="B14" s="18" t="inlineStr">
        <is>
          <t>H.T. Fuse Unit</t>
        </is>
      </c>
      <c r="C14" s="17" t="n">
        <v>1</v>
      </c>
      <c r="D14" s="18">
        <f>2*2.25</f>
        <v/>
      </c>
      <c r="E14" s="19">
        <f>C14*D14</f>
        <v/>
      </c>
      <c r="F14" s="20">
        <f>ROUND(E14*5.8/1000,6)</f>
        <v/>
      </c>
    </row>
    <row r="15" ht="17" customHeight="1">
      <c r="A15" s="21" t="n">
        <v>2</v>
      </c>
      <c r="B15" s="22" t="inlineStr">
        <is>
          <t>Sub-Stn Main Switch Angle</t>
        </is>
      </c>
      <c r="C15" s="21" t="n">
        <v>1</v>
      </c>
      <c r="D15" s="22">
        <f>2*2.25</f>
        <v/>
      </c>
      <c r="E15" s="23">
        <f>C15*D15</f>
        <v/>
      </c>
      <c r="F15" s="24">
        <f>ROUND(E15*5.8/1000,6)</f>
        <v/>
      </c>
    </row>
    <row r="16" ht="17" customHeight="1">
      <c r="A16" s="17" t="n">
        <v>3</v>
      </c>
      <c r="B16" s="18" t="inlineStr">
        <is>
          <t>Angle Support on Sub-Stn</t>
        </is>
      </c>
      <c r="C16" s="17" t="n">
        <v>1</v>
      </c>
      <c r="D16" s="18">
        <f>2*0.5</f>
        <v/>
      </c>
      <c r="E16" s="19">
        <f>C16*D16</f>
        <v/>
      </c>
      <c r="F16" s="20">
        <f>ROUND(E16*5.8/1000,6)</f>
        <v/>
      </c>
    </row>
    <row r="17" ht="18" customHeight="1">
      <c r="A17" s="25" t="n"/>
      <c r="B17" s="25" t="inlineStr">
        <is>
          <t xml:space="preserve">  Iron Total — DTR Substation Iron</t>
        </is>
      </c>
      <c r="C17" s="25" t="n"/>
      <c r="D17" s="25" t="n"/>
      <c r="E17" s="26">
        <f>SUM(E14:E16)</f>
        <v/>
      </c>
      <c r="F17" s="27">
        <f>SUM(F14:F16)</f>
        <v/>
      </c>
    </row>
    <row r="18" ht="20" customHeight="1">
      <c r="A18" s="28" t="n"/>
      <c r="B18" s="28" t="inlineStr">
        <is>
          <t>Section Total — M.S. Angle (65X65X6mm)</t>
        </is>
      </c>
      <c r="C18" s="28" t="n"/>
      <c r="D18" s="28" t="n"/>
      <c r="E18" s="28" t="n"/>
      <c r="F18" s="29">
        <f>ROUND(F17,4)</f>
        <v/>
      </c>
    </row>
    <row r="20" ht="22" customHeight="1">
      <c r="A20" s="12" t="inlineStr">
        <is>
          <t>C</t>
        </is>
      </c>
      <c r="B20" s="13" t="inlineStr">
        <is>
          <t>M.S. Flat (65X6mm)  —  3.1 kg/m</t>
        </is>
      </c>
      <c r="C20" s="14" t="n"/>
      <c r="D20" s="14" t="n"/>
      <c r="E20" s="15" t="n"/>
      <c r="F20" s="12" t="inlineStr">
        <is>
          <t>Iron (MT)</t>
        </is>
      </c>
    </row>
    <row r="21" ht="18" customHeight="1">
      <c r="A21" s="16" t="n"/>
      <c r="B21" s="16" t="inlineStr">
        <is>
          <t xml:space="preserve">  ↳  DTR Substation Iron  (1 nos on canvas)</t>
        </is>
      </c>
      <c r="C21" s="14" t="n"/>
      <c r="D21" s="14" t="n"/>
      <c r="E21" s="14" t="n"/>
      <c r="F21" s="15" t="n"/>
    </row>
    <row r="22" ht="17" customHeight="1">
      <c r="A22" s="17" t="n">
        <v>1</v>
      </c>
      <c r="B22" s="18" t="inlineStr">
        <is>
          <t>No. of H.T. Clamp Sub-Stn</t>
        </is>
      </c>
      <c r="C22" s="17" t="n">
        <v>1</v>
      </c>
      <c r="D22" s="18">
        <f>28*0.5</f>
        <v/>
      </c>
      <c r="E22" s="19">
        <f>C22*D22</f>
        <v/>
      </c>
      <c r="F22" s="20">
        <f>ROUND(E22*3.1/1000,6)</f>
        <v/>
      </c>
    </row>
    <row r="23" ht="18" customHeight="1">
      <c r="A23" s="25" t="n"/>
      <c r="B23" s="25" t="inlineStr">
        <is>
          <t xml:space="preserve">  Iron Total — DTR Substation Iron</t>
        </is>
      </c>
      <c r="C23" s="25" t="n"/>
      <c r="D23" s="25" t="n"/>
      <c r="E23" s="26">
        <f>SUM(E22:E22)</f>
        <v/>
      </c>
      <c r="F23" s="27">
        <f>SUM(F22:F22)</f>
        <v/>
      </c>
    </row>
    <row r="24" ht="20" customHeight="1">
      <c r="A24" s="28" t="n"/>
      <c r="B24" s="28" t="inlineStr">
        <is>
          <t>Section Total — M.S. Flat (65X6mm)</t>
        </is>
      </c>
      <c r="C24" s="28" t="n"/>
      <c r="D24" s="28" t="n"/>
      <c r="E24" s="28" t="n"/>
      <c r="F24" s="29">
        <f>ROUND(F23,4)</f>
        <v/>
      </c>
    </row>
    <row r="27" ht="22" customHeight="1">
      <c r="A27" s="30" t="n"/>
      <c r="B27" s="30" t="inlineStr">
        <is>
          <t>TOTAL IRON (as per Estimate):</t>
        </is>
      </c>
      <c r="C27" s="30" t="n"/>
      <c r="D27" s="30" t="n"/>
      <c r="E27" s="30" t="n"/>
      <c r="F27" s="31">
        <f>ROUND(F10+F18+F24,4)</f>
        <v/>
      </c>
    </row>
    <row r="28" ht="18" customHeight="1">
      <c r="A28" s="32" t="n"/>
      <c r="B28" s="32" t="inlineStr">
        <is>
          <t xml:space="preserve">  Add: Fabrication Wastage @ 3%:</t>
        </is>
      </c>
      <c r="C28" s="32" t="n"/>
      <c r="D28" s="32" t="n"/>
      <c r="E28" s="32" t="n"/>
      <c r="F28" s="33">
        <f>ROUND(F27*0.03,4)</f>
        <v/>
      </c>
    </row>
    <row r="29" ht="26" customHeight="1">
      <c r="A29" s="34" t="n"/>
      <c r="B29" s="34" t="inlineStr">
        <is>
          <t>TOTAL FOR PROCUREMENT (incl. 3% wastage):</t>
        </is>
      </c>
      <c r="C29" s="34" t="n"/>
      <c r="D29" s="34" t="n"/>
      <c r="E29" s="34" t="n"/>
      <c r="F29" s="35">
        <f>ROUND(F27+F28,4)</f>
        <v/>
      </c>
    </row>
  </sheetData>
  <mergeCells count="7">
    <mergeCell ref="B4:F4"/>
    <mergeCell ref="B21:F21"/>
    <mergeCell ref="B12:E12"/>
    <mergeCell ref="A1:F1"/>
    <mergeCell ref="B3:E3"/>
    <mergeCell ref="B20:E20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2026-05-19T00:28:36Z</dcterms:created>
  <dcterms:modified xsi:type="dcterms:W3CDTF">2026-05-19T00:28:36Z</dcterms:modified>
</cp:coreProperties>
</file>