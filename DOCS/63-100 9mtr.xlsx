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ERP\PS\DTR Augmentation\2025\"/>
    </mc:Choice>
  </mc:AlternateContent>
  <xr:revisionPtr revIDLastSave="0" documentId="13_ncr:1_{191EA33B-2541-48E9-B00B-D1A0229D1A5A}" xr6:coauthVersionLast="47" xr6:coauthVersionMax="47" xr10:uidLastSave="{00000000-0000-0000-0000-000000000000}"/>
  <bookViews>
    <workbookView xWindow="-120" yWindow="-120" windowWidth="21840" windowHeight="13020" tabRatio="836" xr2:uid="{00000000-000D-0000-FFFF-FFFF00000000}"/>
  </bookViews>
  <sheets>
    <sheet name="ERP_Estimate" sheetId="4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44" l="1"/>
  <c r="K17" i="44"/>
  <c r="K7" i="44"/>
  <c r="K34" i="44"/>
  <c r="K26" i="44" l="1"/>
  <c r="K25" i="44"/>
  <c r="K24" i="44"/>
  <c r="K23" i="44"/>
  <c r="K22" i="44"/>
  <c r="K21" i="44"/>
  <c r="K20" i="44"/>
  <c r="K13" i="44"/>
  <c r="K12" i="44"/>
  <c r="K11" i="44"/>
  <c r="K10" i="44"/>
  <c r="K9" i="44"/>
  <c r="K8" i="44"/>
  <c r="K6" i="44"/>
  <c r="K5" i="44"/>
  <c r="K4" i="44"/>
  <c r="K14" i="44" l="1"/>
  <c r="K27" i="44"/>
  <c r="K15" i="44" l="1"/>
  <c r="K28" i="44"/>
  <c r="K29" i="44" s="1"/>
  <c r="K16" i="44" l="1"/>
  <c r="K30" i="44"/>
  <c r="K31" i="44" s="1"/>
</calcChain>
</file>

<file path=xl/sharedStrings.xml><?xml version="1.0" encoding="utf-8"?>
<sst xmlns="http://schemas.openxmlformats.org/spreadsheetml/2006/main" count="91" uniqueCount="57">
  <si>
    <t>Sl. No.</t>
  </si>
  <si>
    <t>Material Code (Component)</t>
  </si>
  <si>
    <t xml:space="preserve">Name of Materials </t>
  </si>
  <si>
    <t>Required Qty</t>
  </si>
  <si>
    <t>Unit</t>
  </si>
  <si>
    <t>Rate (Rs.)</t>
  </si>
  <si>
    <t>IC</t>
  </si>
  <si>
    <t>Store</t>
  </si>
  <si>
    <t>DCL Supply Materials Amount (Rs.)</t>
  </si>
  <si>
    <t>0110030241</t>
  </si>
  <si>
    <t>PCC Pole 9MTR</t>
  </si>
  <si>
    <t>Nos</t>
  </si>
  <si>
    <t>Y</t>
  </si>
  <si>
    <t>ST01</t>
  </si>
  <si>
    <t>MT</t>
  </si>
  <si>
    <t>0103011511</t>
  </si>
  <si>
    <t>M.S. Flat 65X6 MM</t>
  </si>
  <si>
    <t>0504110541</t>
  </si>
  <si>
    <t>G.I. Earth Spike 6*3.25ft</t>
  </si>
  <si>
    <t>0504130432</t>
  </si>
  <si>
    <r>
      <t xml:space="preserve">H.T. </t>
    </r>
    <r>
      <rPr>
        <b/>
        <sz val="11"/>
        <rFont val="Calibri"/>
        <family val="2"/>
        <scheme val="minor"/>
      </rPr>
      <t>Stay</t>
    </r>
    <r>
      <rPr>
        <sz val="11"/>
        <rFont val="Calibri"/>
        <family val="2"/>
        <scheme val="minor"/>
      </rPr>
      <t xml:space="preserve"> Set Complete </t>
    </r>
  </si>
  <si>
    <t>SET</t>
  </si>
  <si>
    <t>0508040841</t>
  </si>
  <si>
    <t>H.T. Guy Insulator 11KV</t>
  </si>
  <si>
    <t>G.I. Stay Wire 7/3..15MM 10 SWG</t>
  </si>
  <si>
    <t>KM</t>
  </si>
  <si>
    <t>0503010811</t>
  </si>
  <si>
    <t>G.I. 6 SWG Wire (5mm)</t>
  </si>
  <si>
    <t>0502010921</t>
  </si>
  <si>
    <t>ACSR Conductor 50SQMM</t>
  </si>
  <si>
    <t>SUM</t>
  </si>
  <si>
    <t>Sundries @ 5%</t>
  </si>
  <si>
    <t>Total Material Value</t>
  </si>
  <si>
    <t>Short Text (Description of Works)</t>
  </si>
  <si>
    <t>Qty</t>
  </si>
  <si>
    <t>Gross Price</t>
  </si>
  <si>
    <t>Ovrl Total</t>
  </si>
  <si>
    <t>Overall Total</t>
  </si>
  <si>
    <t>Erection of S/S D.P. Structure  (9 mtr PCC Pole)</t>
  </si>
  <si>
    <t xml:space="preserve">Dismantaling of 63KVA DIST. Transformer from Existing Structure and returning the same to Store </t>
  </si>
  <si>
    <t>Dismantle of 8mtr Existing DTR Sub-Stn (Erection of New DTR rate/2) 9875/2 = 4937.5</t>
  </si>
  <si>
    <t>Dismantaling &amp; Re-Fixing of  11 KV TGPO Isolator on S/Stn Structure</t>
  </si>
  <si>
    <t>Earthing Complete</t>
  </si>
  <si>
    <t>Erection of  Stay complete  HT</t>
  </si>
  <si>
    <t>Newtral Earthing with Material</t>
  </si>
  <si>
    <t>Labour Value</t>
  </si>
  <si>
    <t>Supervision @ 10% (Labour+Material)</t>
  </si>
  <si>
    <t>TOTAL</t>
  </si>
  <si>
    <t>Cess @ 1% of Total Estimated Cost</t>
  </si>
  <si>
    <t>Total Estimated Cost</t>
  </si>
  <si>
    <t>RETURN</t>
  </si>
  <si>
    <t>UH- 63KVA DTR (25%)</t>
  </si>
  <si>
    <t xml:space="preserve"> </t>
  </si>
  <si>
    <t>DTR 100KVA 11/0.4KV 3PH O/D</t>
  </si>
  <si>
    <t>Escallation 24-25 @ 5%</t>
  </si>
  <si>
    <t>M.S Channel 75X40 mm</t>
  </si>
  <si>
    <t>Escallation 25-26 @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</si>
</sst>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0">
    <font>
      <sz val="10"/>
      <name val="Arial"/>
      <charset val="134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 Narrow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2" fontId="2" fillId="0" borderId="3" xfId="0" applyNumberFormat="1" applyFont="1" applyBorder="1" applyAlignment="1">
      <alignment horizontal="right" vertical="center"/>
    </xf>
    <xf numFmtId="2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center" vertical="center"/>
    </xf>
    <xf numFmtId="2" fontId="2" fillId="0" borderId="17" xfId="0" applyNumberFormat="1" applyFont="1" applyBorder="1" applyAlignment="1" applyProtection="1">
      <alignment horizontal="left" vertical="center"/>
      <protection locked="0"/>
    </xf>
    <xf numFmtId="2" fontId="2" fillId="0" borderId="3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left" vertical="center"/>
    </xf>
    <xf numFmtId="164" fontId="4" fillId="0" borderId="18" xfId="2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4" fillId="0" borderId="12" xfId="2" applyNumberFormat="1" applyFont="1" applyBorder="1" applyAlignment="1">
      <alignment horizontal="left" vertical="center"/>
    </xf>
    <xf numFmtId="2" fontId="2" fillId="0" borderId="4" xfId="0" applyNumberFormat="1" applyFont="1" applyBorder="1" applyAlignment="1" applyProtection="1">
      <alignment horizontal="right" vertical="center"/>
      <protection locked="0"/>
    </xf>
    <xf numFmtId="2" fontId="2" fillId="0" borderId="19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2" fillId="0" borderId="20" xfId="0" applyFont="1" applyBorder="1" applyAlignment="1">
      <alignment horizontal="right" vertical="center" wrapText="1"/>
    </xf>
    <xf numFmtId="0" fontId="6" fillId="0" borderId="19" xfId="0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164" fontId="2" fillId="0" borderId="8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2" fillId="0" borderId="21" xfId="0" applyFont="1" applyBorder="1" applyAlignment="1">
      <alignment horizontal="right" vertical="center" wrapText="1"/>
    </xf>
    <xf numFmtId="1" fontId="2" fillId="0" borderId="4" xfId="0" applyNumberFormat="1" applyFont="1" applyBorder="1" applyAlignment="1">
      <alignment horizontal="right" vertical="center"/>
    </xf>
    <xf numFmtId="1" fontId="5" fillId="0" borderId="10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right" vertical="center"/>
    </xf>
    <xf numFmtId="1" fontId="2" fillId="0" borderId="10" xfId="0" applyNumberFormat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31000000}"/>
    <cellStyle name="Normal_Sheet1" xfId="2" xr:uid="{00000000-0005-0000-0000-000032000000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7"/>
  <sheetViews>
    <sheetView tabSelected="1" zoomScale="115" zoomScaleNormal="115" workbookViewId="0">
      <selection activeCell="N10" sqref="N10"/>
    </sheetView>
  </sheetViews>
  <sheetFormatPr defaultColWidth="9" defaultRowHeight="12.95" customHeight="1"/>
  <cols>
    <col min="1" max="1" width="2.28515625" style="1" customWidth="1"/>
    <col min="2" max="2" width="4.7109375" style="1" customWidth="1"/>
    <col min="3" max="3" width="13.28515625" style="1" customWidth="1"/>
    <col min="4" max="4" width="30.85546875" style="1" customWidth="1"/>
    <col min="5" max="5" width="7.85546875" style="2" customWidth="1"/>
    <col min="6" max="6" width="4.85546875" style="1" customWidth="1"/>
    <col min="7" max="7" width="12.7109375" style="3" customWidth="1"/>
    <col min="8" max="8" width="3.42578125" style="3" customWidth="1"/>
    <col min="9" max="9" width="3.140625" style="4" customWidth="1"/>
    <col min="10" max="10" width="6" style="3" customWidth="1"/>
    <col min="11" max="11" width="13.42578125" style="3" customWidth="1"/>
    <col min="12" max="12" width="10.5703125" style="1"/>
    <col min="13" max="13" width="9.140625" style="1" customWidth="1"/>
    <col min="14" max="16384" width="9" style="1"/>
  </cols>
  <sheetData>
    <row r="1" spans="2:13" ht="12.95" customHeight="1">
      <c r="I1" s="3"/>
    </row>
    <row r="2" spans="2:13" ht="29.1" customHeight="1"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2:13" ht="66" customHeight="1">
      <c r="B3" s="5" t="s">
        <v>0</v>
      </c>
      <c r="C3" s="6" t="s">
        <v>1</v>
      </c>
      <c r="D3" s="7" t="s">
        <v>2</v>
      </c>
      <c r="E3" s="6" t="s">
        <v>3</v>
      </c>
      <c r="F3" s="8" t="s">
        <v>4</v>
      </c>
      <c r="G3" s="9" t="s">
        <v>5</v>
      </c>
      <c r="H3" s="10" t="s">
        <v>6</v>
      </c>
      <c r="I3" s="3"/>
      <c r="J3" s="10" t="s">
        <v>7</v>
      </c>
      <c r="K3" s="36" t="s">
        <v>8</v>
      </c>
    </row>
    <row r="4" spans="2:13" ht="12.95" customHeight="1">
      <c r="B4" s="11">
        <v>1</v>
      </c>
      <c r="C4" s="47" t="s">
        <v>9</v>
      </c>
      <c r="D4" s="12" t="s">
        <v>10</v>
      </c>
      <c r="E4" s="8">
        <v>2</v>
      </c>
      <c r="F4" s="8" t="s">
        <v>11</v>
      </c>
      <c r="G4" s="13">
        <v>10198.280000000001</v>
      </c>
      <c r="H4" s="14" t="s">
        <v>12</v>
      </c>
      <c r="I4" s="14"/>
      <c r="J4" s="37" t="s">
        <v>13</v>
      </c>
      <c r="K4" s="38">
        <f t="shared" ref="K4:K13" si="0">E4*G4</f>
        <v>20396.560000000001</v>
      </c>
      <c r="L4" s="39"/>
      <c r="M4" s="39"/>
    </row>
    <row r="5" spans="2:13" ht="12.95" customHeight="1">
      <c r="B5" s="11">
        <v>2</v>
      </c>
      <c r="C5" s="47">
        <v>301018341</v>
      </c>
      <c r="D5" s="12" t="s">
        <v>53</v>
      </c>
      <c r="E5" s="8">
        <v>1</v>
      </c>
      <c r="F5" s="8" t="s">
        <v>11</v>
      </c>
      <c r="G5" s="13">
        <v>248239.75</v>
      </c>
      <c r="H5" s="14" t="s">
        <v>12</v>
      </c>
      <c r="I5" s="14"/>
      <c r="J5" s="37" t="s">
        <v>13</v>
      </c>
      <c r="K5" s="38">
        <f t="shared" si="0"/>
        <v>248239.75</v>
      </c>
      <c r="L5" s="39"/>
      <c r="M5" s="39"/>
    </row>
    <row r="6" spans="2:13" ht="12.95" customHeight="1">
      <c r="B6" s="11">
        <v>3</v>
      </c>
      <c r="C6" s="47" t="s">
        <v>15</v>
      </c>
      <c r="D6" s="12" t="s">
        <v>16</v>
      </c>
      <c r="E6" s="8">
        <v>8.1000000000000003E-2</v>
      </c>
      <c r="F6" s="8" t="s">
        <v>14</v>
      </c>
      <c r="G6" s="13">
        <v>117493.74</v>
      </c>
      <c r="H6" s="14" t="s">
        <v>12</v>
      </c>
      <c r="I6" s="14"/>
      <c r="J6" s="37" t="s">
        <v>13</v>
      </c>
      <c r="K6" s="38">
        <f t="shared" si="0"/>
        <v>9516.9929400000001</v>
      </c>
      <c r="L6" s="39"/>
      <c r="M6" s="39"/>
    </row>
    <row r="7" spans="2:13" ht="12.95" customHeight="1">
      <c r="B7" s="11">
        <v>4</v>
      </c>
      <c r="C7" s="47">
        <v>102010611</v>
      </c>
      <c r="D7" s="12" t="s">
        <v>55</v>
      </c>
      <c r="E7" s="8">
        <v>3.4000000000000002E-2</v>
      </c>
      <c r="F7" s="8" t="s">
        <v>14</v>
      </c>
      <c r="G7" s="13">
        <v>110043.09</v>
      </c>
      <c r="H7" s="14" t="s">
        <v>12</v>
      </c>
      <c r="I7" s="14"/>
      <c r="J7" s="37" t="s">
        <v>13</v>
      </c>
      <c r="K7" s="38">
        <f t="shared" si="0"/>
        <v>3741.46506</v>
      </c>
      <c r="L7" s="39"/>
      <c r="M7" s="39"/>
    </row>
    <row r="8" spans="2:13" ht="12.95" customHeight="1">
      <c r="B8" s="11">
        <v>5</v>
      </c>
      <c r="C8" s="47" t="s">
        <v>17</v>
      </c>
      <c r="D8" s="12" t="s">
        <v>18</v>
      </c>
      <c r="E8" s="8">
        <v>5</v>
      </c>
      <c r="F8" s="8" t="s">
        <v>11</v>
      </c>
      <c r="G8" s="13">
        <v>367.98</v>
      </c>
      <c r="H8" s="14" t="s">
        <v>12</v>
      </c>
      <c r="I8" s="14"/>
      <c r="J8" s="37" t="s">
        <v>13</v>
      </c>
      <c r="K8" s="38">
        <f t="shared" si="0"/>
        <v>1839.9</v>
      </c>
      <c r="L8" s="39"/>
      <c r="M8" s="39"/>
    </row>
    <row r="9" spans="2:13" ht="12.95" customHeight="1">
      <c r="B9" s="11">
        <v>6</v>
      </c>
      <c r="C9" s="47" t="s">
        <v>19</v>
      </c>
      <c r="D9" s="12" t="s">
        <v>20</v>
      </c>
      <c r="E9" s="8">
        <v>4</v>
      </c>
      <c r="F9" s="8" t="s">
        <v>21</v>
      </c>
      <c r="G9" s="13">
        <v>795.83</v>
      </c>
      <c r="H9" s="14" t="s">
        <v>12</v>
      </c>
      <c r="I9" s="14"/>
      <c r="J9" s="37" t="s">
        <v>13</v>
      </c>
      <c r="K9" s="38">
        <f t="shared" si="0"/>
        <v>3183.32</v>
      </c>
      <c r="L9" s="39"/>
      <c r="M9" s="39"/>
    </row>
    <row r="10" spans="2:13" ht="12.95" customHeight="1">
      <c r="B10" s="11">
        <v>7</v>
      </c>
      <c r="C10" s="47" t="s">
        <v>22</v>
      </c>
      <c r="D10" s="12" t="s">
        <v>23</v>
      </c>
      <c r="E10" s="8">
        <v>4</v>
      </c>
      <c r="F10" s="8" t="s">
        <v>11</v>
      </c>
      <c r="G10" s="13">
        <v>52.24</v>
      </c>
      <c r="H10" s="14" t="s">
        <v>12</v>
      </c>
      <c r="I10" s="14"/>
      <c r="J10" s="37" t="s">
        <v>13</v>
      </c>
      <c r="K10" s="38">
        <f t="shared" si="0"/>
        <v>208.96</v>
      </c>
      <c r="L10" s="39"/>
      <c r="M10" s="39"/>
    </row>
    <row r="11" spans="2:13" ht="12.95" customHeight="1">
      <c r="B11" s="11">
        <v>8</v>
      </c>
      <c r="C11" s="47">
        <v>503050711</v>
      </c>
      <c r="D11" s="12" t="s">
        <v>24</v>
      </c>
      <c r="E11" s="8">
        <v>2.4E-2</v>
      </c>
      <c r="F11" s="8" t="s">
        <v>14</v>
      </c>
      <c r="G11" s="13">
        <v>142310.93</v>
      </c>
      <c r="H11" s="14" t="s">
        <v>12</v>
      </c>
      <c r="I11" s="14"/>
      <c r="J11" s="37" t="s">
        <v>13</v>
      </c>
      <c r="K11" s="38">
        <f t="shared" si="0"/>
        <v>3415.4623200000001</v>
      </c>
      <c r="L11" s="39"/>
      <c r="M11" s="39"/>
    </row>
    <row r="12" spans="2:13" ht="12.95" customHeight="1">
      <c r="B12" s="11">
        <v>9</v>
      </c>
      <c r="C12" s="47" t="s">
        <v>26</v>
      </c>
      <c r="D12" s="15" t="s">
        <v>27</v>
      </c>
      <c r="E12" s="8">
        <v>1.7999999999999999E-2</v>
      </c>
      <c r="F12" s="8" t="s">
        <v>14</v>
      </c>
      <c r="G12" s="13">
        <v>136865.98000000001</v>
      </c>
      <c r="H12" s="14" t="s">
        <v>12</v>
      </c>
      <c r="I12" s="14"/>
      <c r="J12" s="37" t="s">
        <v>13</v>
      </c>
      <c r="K12" s="38">
        <f t="shared" si="0"/>
        <v>2463.5876400000002</v>
      </c>
      <c r="L12" s="39"/>
      <c r="M12" s="39"/>
    </row>
    <row r="13" spans="2:13" ht="12.95" customHeight="1">
      <c r="B13" s="11">
        <v>10</v>
      </c>
      <c r="C13" s="47" t="s">
        <v>28</v>
      </c>
      <c r="D13" s="12" t="s">
        <v>29</v>
      </c>
      <c r="E13" s="8">
        <v>1.4999999999999999E-2</v>
      </c>
      <c r="F13" s="8" t="s">
        <v>25</v>
      </c>
      <c r="G13" s="13">
        <v>62290.12</v>
      </c>
      <c r="H13" s="14" t="s">
        <v>12</v>
      </c>
      <c r="I13" s="14"/>
      <c r="J13" s="37" t="s">
        <v>13</v>
      </c>
      <c r="K13" s="38">
        <f t="shared" si="0"/>
        <v>934.35180000000003</v>
      </c>
      <c r="L13" s="39"/>
      <c r="M13" s="39"/>
    </row>
    <row r="14" spans="2:13" ht="12.95" customHeight="1">
      <c r="B14" s="52" t="s">
        <v>30</v>
      </c>
      <c r="C14" s="53"/>
      <c r="D14" s="53"/>
      <c r="E14" s="53"/>
      <c r="F14" s="53"/>
      <c r="G14" s="54"/>
      <c r="H14" s="17"/>
      <c r="I14" s="17"/>
      <c r="J14" s="17"/>
      <c r="K14" s="38">
        <f>SUM(K4:K13)</f>
        <v>293940.34976000007</v>
      </c>
    </row>
    <row r="15" spans="2:13" ht="12.95" customHeight="1">
      <c r="B15" s="52" t="s">
        <v>31</v>
      </c>
      <c r="C15" s="53"/>
      <c r="D15" s="53"/>
      <c r="E15" s="53"/>
      <c r="F15" s="53"/>
      <c r="G15" s="54"/>
      <c r="H15" s="17"/>
      <c r="I15" s="17"/>
      <c r="J15" s="17"/>
      <c r="K15" s="38">
        <f>K14*5%</f>
        <v>14697.017488000005</v>
      </c>
    </row>
    <row r="16" spans="2:13" ht="12.95" customHeight="1">
      <c r="B16" s="52" t="s">
        <v>54</v>
      </c>
      <c r="C16" s="53"/>
      <c r="D16" s="53"/>
      <c r="E16" s="53"/>
      <c r="F16" s="53"/>
      <c r="G16" s="54"/>
      <c r="H16" s="27"/>
      <c r="I16" s="27"/>
      <c r="J16" s="27"/>
      <c r="K16" s="40">
        <f>+SUM(K14:K15)*0.05</f>
        <v>15431.868362400004</v>
      </c>
    </row>
    <row r="17" spans="2:11" ht="12.95" customHeight="1">
      <c r="B17" s="52" t="s">
        <v>56</v>
      </c>
      <c r="C17" s="53"/>
      <c r="D17" s="53"/>
      <c r="E17" s="53"/>
      <c r="F17" s="53"/>
      <c r="G17" s="54"/>
      <c r="H17" s="27"/>
      <c r="I17" s="27"/>
      <c r="J17" s="27"/>
      <c r="K17" s="40">
        <f>+SUM(K14:K16)*0.05</f>
        <v>16203.461780520003</v>
      </c>
    </row>
    <row r="18" spans="2:11" ht="12.95" customHeight="1">
      <c r="B18" s="64" t="s">
        <v>32</v>
      </c>
      <c r="C18" s="65"/>
      <c r="D18" s="65"/>
      <c r="E18" s="65"/>
      <c r="F18" s="65"/>
      <c r="G18" s="66"/>
      <c r="H18" s="19"/>
      <c r="I18" s="19"/>
      <c r="J18" s="19"/>
      <c r="K18" s="40">
        <f>SUM(K14:K17)</f>
        <v>340272.69739092002</v>
      </c>
    </row>
    <row r="19" spans="2:11" ht="12.95" customHeight="1">
      <c r="B19" s="20" t="s">
        <v>0</v>
      </c>
      <c r="C19" s="67" t="s">
        <v>33</v>
      </c>
      <c r="D19" s="68"/>
      <c r="E19" s="21" t="s">
        <v>34</v>
      </c>
      <c r="F19" s="21" t="s">
        <v>4</v>
      </c>
      <c r="G19" s="22" t="s">
        <v>35</v>
      </c>
      <c r="H19" s="23"/>
      <c r="I19" s="41" t="s">
        <v>36</v>
      </c>
      <c r="J19" s="23"/>
      <c r="K19" s="42" t="s">
        <v>37</v>
      </c>
    </row>
    <row r="20" spans="2:11" ht="12.95" customHeight="1">
      <c r="B20" s="16">
        <v>1</v>
      </c>
      <c r="C20" s="59" t="s">
        <v>38</v>
      </c>
      <c r="D20" s="60"/>
      <c r="E20" s="24">
        <v>1</v>
      </c>
      <c r="F20" s="18" t="s">
        <v>25</v>
      </c>
      <c r="G20" s="25">
        <v>12309</v>
      </c>
      <c r="H20" s="14"/>
      <c r="I20" s="43">
        <v>99</v>
      </c>
      <c r="J20" s="14"/>
      <c r="K20" s="38">
        <f t="shared" ref="K20:K26" si="1">E20*G20</f>
        <v>12309</v>
      </c>
    </row>
    <row r="21" spans="2:11" ht="12.95" customHeight="1">
      <c r="B21" s="16">
        <v>2</v>
      </c>
      <c r="C21" s="59" t="s">
        <v>39</v>
      </c>
      <c r="D21" s="60"/>
      <c r="E21" s="8">
        <v>1</v>
      </c>
      <c r="F21" s="18" t="s">
        <v>25</v>
      </c>
      <c r="G21" s="26">
        <v>1203</v>
      </c>
      <c r="H21" s="14"/>
      <c r="I21" s="43">
        <v>99</v>
      </c>
      <c r="J21" s="14"/>
      <c r="K21" s="38">
        <f t="shared" si="1"/>
        <v>1203</v>
      </c>
    </row>
    <row r="22" spans="2:11" ht="12.95" customHeight="1">
      <c r="B22" s="16">
        <v>3</v>
      </c>
      <c r="C22" s="61" t="s">
        <v>40</v>
      </c>
      <c r="D22" s="62"/>
      <c r="E22" s="27">
        <v>1</v>
      </c>
      <c r="F22" s="8" t="s">
        <v>11</v>
      </c>
      <c r="G22" s="26">
        <v>4937.5</v>
      </c>
      <c r="H22" s="14"/>
      <c r="I22" s="43">
        <v>99</v>
      </c>
      <c r="J22" s="14"/>
      <c r="K22" s="38">
        <f t="shared" si="1"/>
        <v>4937.5</v>
      </c>
    </row>
    <row r="23" spans="2:11" ht="12.95" customHeight="1">
      <c r="B23" s="16">
        <v>4</v>
      </c>
      <c r="C23" s="50" t="s">
        <v>41</v>
      </c>
      <c r="D23" s="51"/>
      <c r="E23" s="28">
        <v>1</v>
      </c>
      <c r="F23" s="8" t="s">
        <v>11</v>
      </c>
      <c r="G23" s="29">
        <v>1717</v>
      </c>
      <c r="H23" s="14"/>
      <c r="I23" s="43">
        <v>99</v>
      </c>
      <c r="J23" s="14"/>
      <c r="K23" s="38">
        <f t="shared" si="1"/>
        <v>1717</v>
      </c>
    </row>
    <row r="24" spans="2:11" ht="12.95" customHeight="1">
      <c r="B24" s="16">
        <v>5</v>
      </c>
      <c r="C24" s="50" t="s">
        <v>42</v>
      </c>
      <c r="D24" s="51"/>
      <c r="E24" s="31">
        <v>6</v>
      </c>
      <c r="F24" s="8" t="s">
        <v>11</v>
      </c>
      <c r="G24" s="32">
        <v>313</v>
      </c>
      <c r="H24" s="14"/>
      <c r="I24" s="43">
        <v>99</v>
      </c>
      <c r="J24" s="14"/>
      <c r="K24" s="38">
        <f t="shared" si="1"/>
        <v>1878</v>
      </c>
    </row>
    <row r="25" spans="2:11" ht="12.95" customHeight="1">
      <c r="B25" s="16">
        <v>6</v>
      </c>
      <c r="C25" s="50" t="s">
        <v>43</v>
      </c>
      <c r="D25" s="51"/>
      <c r="E25" s="17">
        <v>4</v>
      </c>
      <c r="F25" s="8" t="s">
        <v>11</v>
      </c>
      <c r="G25" s="30">
        <v>641</v>
      </c>
      <c r="H25" s="33"/>
      <c r="I25" s="43">
        <v>99</v>
      </c>
      <c r="J25" s="33"/>
      <c r="K25" s="38">
        <f t="shared" si="1"/>
        <v>2564</v>
      </c>
    </row>
    <row r="26" spans="2:11" ht="12.95" customHeight="1">
      <c r="B26" s="16">
        <v>7</v>
      </c>
      <c r="C26" s="50" t="s">
        <v>44</v>
      </c>
      <c r="D26" s="51"/>
      <c r="E26" s="17">
        <v>1</v>
      </c>
      <c r="F26" s="8" t="s">
        <v>11</v>
      </c>
      <c r="G26" s="34">
        <v>3816</v>
      </c>
      <c r="H26" s="33"/>
      <c r="I26" s="43">
        <v>99</v>
      </c>
      <c r="J26" s="33"/>
      <c r="K26" s="38">
        <f t="shared" si="1"/>
        <v>3816</v>
      </c>
    </row>
    <row r="27" spans="2:11" ht="12.95" customHeight="1">
      <c r="B27" s="56" t="s">
        <v>45</v>
      </c>
      <c r="C27" s="57"/>
      <c r="D27" s="57"/>
      <c r="E27" s="57"/>
      <c r="F27" s="57"/>
      <c r="G27" s="58"/>
      <c r="H27" s="35"/>
      <c r="I27" s="44"/>
      <c r="J27" s="35"/>
      <c r="K27" s="45">
        <f>SUM(K20:K26)</f>
        <v>28424.5</v>
      </c>
    </row>
    <row r="28" spans="2:11" ht="12.95" customHeight="1">
      <c r="B28" s="52" t="s">
        <v>46</v>
      </c>
      <c r="C28" s="53"/>
      <c r="D28" s="53"/>
      <c r="E28" s="53"/>
      <c r="F28" s="53"/>
      <c r="G28" s="54"/>
      <c r="H28" s="17"/>
      <c r="I28" s="46"/>
      <c r="J28" s="17"/>
      <c r="K28" s="38">
        <f>(K18+K27)*10%</f>
        <v>36869.719739092005</v>
      </c>
    </row>
    <row r="29" spans="2:11" ht="12.95" customHeight="1">
      <c r="B29" s="52" t="s">
        <v>47</v>
      </c>
      <c r="C29" s="53"/>
      <c r="D29" s="53"/>
      <c r="E29" s="53"/>
      <c r="F29" s="53"/>
      <c r="G29" s="54"/>
      <c r="H29" s="17"/>
      <c r="I29" s="46"/>
      <c r="J29" s="17"/>
      <c r="K29" s="38">
        <f>K18+K27+K28</f>
        <v>405566.91713001201</v>
      </c>
    </row>
    <row r="30" spans="2:11" ht="12.95" customHeight="1">
      <c r="B30" s="52" t="s">
        <v>48</v>
      </c>
      <c r="C30" s="53"/>
      <c r="D30" s="53"/>
      <c r="E30" s="53"/>
      <c r="F30" s="53"/>
      <c r="G30" s="54"/>
      <c r="H30" s="17"/>
      <c r="I30" s="46"/>
      <c r="J30" s="17"/>
      <c r="K30" s="38">
        <f>K29*1%</f>
        <v>4055.6691713001201</v>
      </c>
    </row>
    <row r="31" spans="2:11" ht="12.95" customHeight="1">
      <c r="B31" s="52" t="s">
        <v>49</v>
      </c>
      <c r="C31" s="53"/>
      <c r="D31" s="53"/>
      <c r="E31" s="53"/>
      <c r="F31" s="53"/>
      <c r="G31" s="54"/>
      <c r="H31" s="17"/>
      <c r="I31" s="46"/>
      <c r="J31" s="17"/>
      <c r="K31" s="38">
        <f>K29+K30</f>
        <v>409622.58630131214</v>
      </c>
    </row>
    <row r="33" spans="2:11" ht="12.95" customHeight="1">
      <c r="B33" s="55" t="s">
        <v>50</v>
      </c>
      <c r="C33" s="55"/>
      <c r="D33" s="55"/>
      <c r="E33" s="55"/>
      <c r="F33" s="55"/>
      <c r="G33" s="55"/>
      <c r="H33" s="55"/>
      <c r="I33" s="55"/>
      <c r="J33" s="55"/>
      <c r="K33" s="55"/>
    </row>
    <row r="34" spans="2:11" ht="12.95" customHeight="1">
      <c r="B34" s="48"/>
      <c r="C34" s="48">
        <v>391032541</v>
      </c>
      <c r="D34" s="49" t="s">
        <v>51</v>
      </c>
      <c r="E34" s="49">
        <v>1</v>
      </c>
      <c r="F34" s="49" t="s">
        <v>11</v>
      </c>
      <c r="G34" s="49">
        <v>197568.41</v>
      </c>
      <c r="H34" s="49"/>
      <c r="I34" s="49"/>
      <c r="J34" s="49"/>
      <c r="K34" s="49">
        <f>G34*25%</f>
        <v>49392.102500000001</v>
      </c>
    </row>
    <row r="37" spans="2:11" ht="12.95" customHeight="1">
      <c r="F37" s="1" t="s">
        <v>52</v>
      </c>
    </row>
  </sheetData>
  <mergeCells count="20">
    <mergeCell ref="B2:K2"/>
    <mergeCell ref="B14:G14"/>
    <mergeCell ref="B15:G15"/>
    <mergeCell ref="B18:G18"/>
    <mergeCell ref="C19:D19"/>
    <mergeCell ref="B16:G16"/>
    <mergeCell ref="B17:G17"/>
    <mergeCell ref="C20:D20"/>
    <mergeCell ref="C21:D21"/>
    <mergeCell ref="C22:D22"/>
    <mergeCell ref="C23:D23"/>
    <mergeCell ref="C24:D24"/>
    <mergeCell ref="C25:D25"/>
    <mergeCell ref="C26:D26"/>
    <mergeCell ref="B31:G31"/>
    <mergeCell ref="B33:K33"/>
    <mergeCell ref="B27:G27"/>
    <mergeCell ref="B28:G28"/>
    <mergeCell ref="B29:G29"/>
    <mergeCell ref="B30:G30"/>
  </mergeCells>
  <phoneticPr fontId="9" type="noConversion"/>
  <conditionalFormatting sqref="C2:C3">
    <cfRule type="duplicateValues" dxfId="11" priority="32"/>
    <cfRule type="duplicateValues" dxfId="10" priority="33"/>
  </conditionalFormatting>
  <conditionalFormatting sqref="C4">
    <cfRule type="duplicateValues" dxfId="9" priority="28"/>
    <cfRule type="duplicateValues" dxfId="8" priority="29"/>
  </conditionalFormatting>
  <conditionalFormatting sqref="C5">
    <cfRule type="duplicateValues" dxfId="7" priority="12"/>
    <cfRule type="duplicateValues" dxfId="6" priority="13"/>
  </conditionalFormatting>
  <conditionalFormatting sqref="C7">
    <cfRule type="duplicateValues" dxfId="5" priority="1"/>
    <cfRule type="duplicateValues" dxfId="4" priority="2"/>
  </conditionalFormatting>
  <conditionalFormatting sqref="C13">
    <cfRule type="duplicateValues" dxfId="3" priority="16"/>
    <cfRule type="duplicateValues" dxfId="2" priority="17"/>
  </conditionalFormatting>
  <conditionalFormatting sqref="C20:C26">
    <cfRule type="duplicateValues" dxfId="1" priority="38"/>
    <cfRule type="duplicateValues" dxfId="0" priority="39"/>
  </conditionalFormatting>
  <pageMargins left="0.23611111111111099" right="0.31458333333333299" top="0.43263888888888902" bottom="0.35416666666666702" header="0.31458333333333299" footer="0.156944444444444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ERP_Estimate</vt:lpstr>
    </vt:vector>
  </TitlesOfParts>
  <Company>WBSEB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PRAMOD VERMA</cp:lastModifiedBy>
  <cp:lastPrinted>2025-07-23T11:27:27Z</cp:lastPrinted>
  <dcterms:created xsi:type="dcterms:W3CDTF">2007-07-21T05:36:00Z</dcterms:created>
  <dcterms:modified xsi:type="dcterms:W3CDTF">2025-08-20T06:31:39Z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FEFF2D52A66B47508CB1E95CD7D11318</vt:lpwstr>
  </property>
  <property fmtid="{D5CDD505-2E9C-101B-9397-08002B2CF9AE}" pid="3" name="KSOProductBuildVer">
    <vt:lpwstr>1033-12.2.0.13215</vt:lpwstr>
  </property>
</Properties>
</file>