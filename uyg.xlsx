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 &quot;MT&quot;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0000"/>
      <sz val="11"/>
    </font>
    <font>
      <name val="Segoe UI"/>
      <b val="1"/>
      <color rgb="00FFFFFF"/>
      <sz val="12"/>
    </font>
    <font>
      <name val="Segoe UI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2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pivotButton="0" quotePrefix="0" xfId="0"/>
    <xf numFmtId="2" fontId="9" fillId="7" borderId="1" pivotButton="0" quotePrefix="0" xfId="0"/>
    <xf numFmtId="164" fontId="9" fillId="7" borderId="1" pivotButton="0" quotePrefix="0" xfId="0"/>
    <xf numFmtId="0" fontId="8" fillId="8" borderId="1" pivotButton="0" quotePrefix="0" xfId="0"/>
    <xf numFmtId="2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pivotButton="0" quotePrefix="0" xfId="0"/>
    <xf numFmtId="2" fontId="9" fillId="9" borderId="1" pivotButton="0" quotePrefix="0" xfId="0"/>
    <xf numFmtId="164" fontId="9" fillId="9" borderId="1" pivotButton="0" quotePrefix="0" xfId="0"/>
    <xf numFmtId="0" fontId="10" fillId="10" borderId="1" pivotButton="0" quotePrefix="0" xfId="0"/>
    <xf numFmtId="164" fontId="10" fillId="10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10" borderId="1" pivotButton="0" quotePrefix="0" xfId="0"/>
    <xf numFmtId="164" fontId="9" fillId="10" borderId="1" applyAlignment="1" pivotButton="0" quotePrefix="0" xfId="0">
      <alignment horizontal="center" vertical="center"/>
    </xf>
    <xf numFmtId="0" fontId="10" fillId="11" borderId="1" pivotButton="0" quotePrefix="0" xfId="0"/>
    <xf numFmtId="164" fontId="10" fillId="11" borderId="1" applyAlignment="1" pivotButton="0" quotePrefix="0" xfId="0">
      <alignment horizontal="center" vertical="center"/>
    </xf>
    <xf numFmtId="0" fontId="8" fillId="11" borderId="1" pivotButton="0" quotePrefix="0" xfId="0"/>
    <xf numFmtId="164" fontId="8" fillId="11" borderId="1" applyAlignment="1" pivotButton="0" quotePrefix="0" xfId="0">
      <alignment horizontal="center" vertical="center"/>
    </xf>
    <xf numFmtId="0" fontId="12" fillId="12" borderId="1" pivotButton="0" quotePrefix="0" xfId="0"/>
    <xf numFmtId="165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  |  Type: NSC  |  Date: 19-05-2026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s="3" t="n">
        <v>4</v>
      </c>
      <c r="E6" t="inlineStr">
        <is>
          <t>NOS</t>
        </is>
      </c>
      <c r="F6" s="4" t="n">
        <v>143.95</v>
      </c>
      <c r="G6" s="4">
        <f>ROUND(D6*F6, 2)</f>
        <v/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s="3" t="n">
        <v>13</v>
      </c>
      <c r="E7" t="inlineStr">
        <is>
          <t>NOS</t>
        </is>
      </c>
      <c r="F7" s="4" t="n">
        <v>367.98</v>
      </c>
      <c r="G7" s="4">
        <f>ROUND(D7*F7, 2)</f>
        <v/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s="5" t="n">
        <v>0.059</v>
      </c>
      <c r="E8" t="inlineStr">
        <is>
          <t>MT</t>
        </is>
      </c>
      <c r="F8" s="4" t="n">
        <v>136865.98</v>
      </c>
      <c r="G8" s="4">
        <f>ROUND(D8*F8, 2)</f>
        <v/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s="3" t="n">
        <v>16</v>
      </c>
      <c r="E9" t="inlineStr">
        <is>
          <t>SET</t>
        </is>
      </c>
      <c r="F9" s="4" t="n">
        <v>795.83</v>
      </c>
      <c r="G9" s="4">
        <f>ROUND(D9*F9, 2)</f>
        <v/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s="5" t="n">
        <v>0.099</v>
      </c>
      <c r="E10" t="inlineStr">
        <is>
          <t>MT</t>
        </is>
      </c>
      <c r="F10" s="4" t="n">
        <v>142310.93</v>
      </c>
      <c r="G10" s="4">
        <f>ROUND(D10*F10, 2)</f>
        <v/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s="3" t="n">
        <v>16</v>
      </c>
      <c r="E11" t="inlineStr">
        <is>
          <t>NOS</t>
        </is>
      </c>
      <c r="F11" s="4" t="n">
        <v>52.24</v>
      </c>
      <c r="G11" s="4">
        <f>ROUND(D11*F11, 2)</f>
        <v/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s="3" t="n">
        <v>8</v>
      </c>
      <c r="E12" t="inlineStr">
        <is>
          <t>NOS</t>
        </is>
      </c>
      <c r="F12" s="4" t="n">
        <v>10198.28</v>
      </c>
      <c r="G12" s="4">
        <f>ROUND(D12*F12, 2)</f>
        <v/>
      </c>
    </row>
    <row r="13">
      <c r="A13" t="n">
        <v>8</v>
      </c>
      <c r="B13" t="inlineStr">
        <is>
          <t>0508011141</t>
        </is>
      </c>
      <c r="C13" t="inlineStr">
        <is>
          <t>11 KV Polymer Composite Pin Insulator 5KN 320MM CD</t>
        </is>
      </c>
      <c r="D13" s="3" t="n">
        <v>18</v>
      </c>
      <c r="E13" t="inlineStr">
        <is>
          <t>NOS</t>
        </is>
      </c>
      <c r="F13" s="4" t="n">
        <v>243.79</v>
      </c>
      <c r="G13" s="4">
        <f>ROUND(D13*F13, 2)</f>
        <v/>
      </c>
    </row>
    <row r="14">
      <c r="A14" t="n">
        <v>9</v>
      </c>
      <c r="B14" t="inlineStr">
        <is>
          <t>0502010921</t>
        </is>
      </c>
      <c r="C14" t="inlineStr">
        <is>
          <t>ACSR Conductor 50SQMM (Rabbit)</t>
        </is>
      </c>
      <c r="D14" s="5" t="n">
        <v>0.278</v>
      </c>
      <c r="E14" t="inlineStr">
        <is>
          <t>KM</t>
        </is>
      </c>
      <c r="F14" s="4" t="n">
        <v>62290.12</v>
      </c>
      <c r="G14" s="4">
        <f>ROUND(D14*F14, 2)</f>
        <v/>
      </c>
    </row>
    <row r="15">
      <c r="A15" t="n">
        <v>10</v>
      </c>
      <c r="B15" t="inlineStr">
        <is>
          <t>0309010841</t>
        </is>
      </c>
      <c r="C15" t="inlineStr">
        <is>
          <t>Lightning Arrestor 12KV 5KA Porcelain Gapless Type 11KV</t>
        </is>
      </c>
      <c r="D15" s="3" t="n">
        <v>3</v>
      </c>
      <c r="E15" t="inlineStr">
        <is>
          <t>NOS</t>
        </is>
      </c>
      <c r="F15" s="4" t="n">
        <v>524.23</v>
      </c>
      <c r="G15" s="4">
        <f>ROUND(D15*F15, 2)</f>
        <v/>
      </c>
    </row>
    <row r="16">
      <c r="A16" t="n">
        <v>11</v>
      </c>
      <c r="B16" t="inlineStr">
        <is>
          <t>0304010532</t>
        </is>
      </c>
      <c r="C16" t="inlineStr">
        <is>
          <t>T.P.G.O. Isolator 11KV 200 AMP</t>
        </is>
      </c>
      <c r="D16" s="3" t="n">
        <v>1</v>
      </c>
      <c r="E16" t="inlineStr">
        <is>
          <t>SET</t>
        </is>
      </c>
      <c r="F16" s="4" t="n">
        <v>10384.98</v>
      </c>
      <c r="G16" s="4">
        <f>ROUND(D16*F16, 2)</f>
        <v/>
      </c>
    </row>
    <row r="17">
      <c r="A17" t="n">
        <v>12</v>
      </c>
      <c r="B17" t="inlineStr">
        <is>
          <t>0912011441</t>
        </is>
      </c>
      <c r="C17" t="inlineStr">
        <is>
          <t>G.I. Turn Buckle 18x5/8"</t>
        </is>
      </c>
      <c r="D17" s="3" t="n">
        <v>2</v>
      </c>
      <c r="E17" t="inlineStr">
        <is>
          <t>NOS</t>
        </is>
      </c>
      <c r="F17" s="4" t="n">
        <v>182.36</v>
      </c>
      <c r="G17" s="4">
        <f>ROUND(D17*F17, 2)</f>
        <v/>
      </c>
    </row>
    <row r="18">
      <c r="A18" t="n">
        <v>13</v>
      </c>
      <c r="B18" t="inlineStr">
        <is>
          <t>0501017821</t>
        </is>
      </c>
      <c r="C18" t="inlineStr">
        <is>
          <t>CABLE (PVC 1.1KV GRADE) 4CX25SQMM</t>
        </is>
      </c>
      <c r="D18" s="5" t="n">
        <v>0.01</v>
      </c>
      <c r="E18" t="inlineStr">
        <is>
          <t>KM</t>
        </is>
      </c>
      <c r="F18" s="4" t="n">
        <v>229429.95</v>
      </c>
      <c r="G18" s="4">
        <f>ROUND(D18*F18, 2)</f>
        <v/>
      </c>
    </row>
    <row r="19">
      <c r="A19" t="n">
        <v>14</v>
      </c>
      <c r="B19" t="inlineStr">
        <is>
          <t>0102010611</t>
        </is>
      </c>
      <c r="C19" t="inlineStr">
        <is>
          <t>M.S Channel 75X40 mm</t>
        </is>
      </c>
      <c r="D19" s="5" t="n">
        <v>0.225</v>
      </c>
      <c r="E19" t="inlineStr">
        <is>
          <t>MT</t>
        </is>
      </c>
      <c r="F19" s="4" t="n">
        <v>110043.09</v>
      </c>
      <c r="G19" s="4">
        <f>ROUND(D19*F19, 2)</f>
        <v/>
      </c>
    </row>
    <row r="20">
      <c r="A20" t="n">
        <v>15</v>
      </c>
      <c r="B20" t="inlineStr">
        <is>
          <t>0101011311</t>
        </is>
      </c>
      <c r="C20" t="inlineStr">
        <is>
          <t>M.S Angle 65X65X6mm</t>
        </is>
      </c>
      <c r="D20" s="5" t="n">
        <v>0.07000000000000001</v>
      </c>
      <c r="E20" t="inlineStr">
        <is>
          <t>MT</t>
        </is>
      </c>
      <c r="F20" s="4" t="n">
        <v>108667.24</v>
      </c>
      <c r="G20" s="4">
        <f>ROUND(D20*F20, 2)</f>
        <v/>
      </c>
    </row>
    <row r="21">
      <c r="A21" t="n">
        <v>16</v>
      </c>
      <c r="B21" t="inlineStr">
        <is>
          <t>0103011511</t>
        </is>
      </c>
      <c r="C21" t="inlineStr">
        <is>
          <t>M.S Flat 65X6 mm</t>
        </is>
      </c>
      <c r="D21" s="5" t="n">
        <v>0.074</v>
      </c>
      <c r="E21" t="inlineStr">
        <is>
          <t>MT</t>
        </is>
      </c>
      <c r="F21" s="4" t="n">
        <v>117493.74</v>
      </c>
      <c r="G21" s="4">
        <f>ROUND(D21*F21, 2)</f>
        <v/>
      </c>
    </row>
    <row r="22">
      <c r="A22" t="n">
        <v>17</v>
      </c>
      <c r="B22" t="inlineStr">
        <is>
          <t>0301018141</t>
        </is>
      </c>
      <c r="C22" t="inlineStr">
        <is>
          <t>DTR 25KVA 11/0.433KV</t>
        </is>
      </c>
      <c r="D22" s="3" t="n">
        <v>1</v>
      </c>
      <c r="E22" t="inlineStr">
        <is>
          <t>NOS</t>
        </is>
      </c>
      <c r="F22" s="4" t="n">
        <v>103528.11</v>
      </c>
      <c r="G22" s="4">
        <f>ROUND(D22*F22, 2)</f>
        <v/>
      </c>
    </row>
    <row r="23">
      <c r="A23" t="n">
        <v>18</v>
      </c>
      <c r="B23" t="inlineStr">
        <is>
          <t>0407010641</t>
        </is>
      </c>
      <c r="C23" t="inlineStr">
        <is>
          <t>LT Distribution KIOSK For 25KVA DTR</t>
        </is>
      </c>
      <c r="D23" s="3" t="n">
        <v>1</v>
      </c>
      <c r="E23" t="inlineStr">
        <is>
          <t>NOS</t>
        </is>
      </c>
      <c r="F23" s="4" t="n">
        <v>8878.41</v>
      </c>
      <c r="G23" s="4">
        <f>ROUND(D23*F23, 2)</f>
        <v/>
      </c>
    </row>
    <row r="24">
      <c r="A24" t="n">
        <v>19</v>
      </c>
      <c r="B24" t="inlineStr">
        <is>
          <t>0110030141</t>
        </is>
      </c>
      <c r="C24" t="inlineStr">
        <is>
          <t>P C C POLE:8 Mtrs.Long</t>
        </is>
      </c>
      <c r="D24" s="3" t="n">
        <v>2</v>
      </c>
      <c r="E24" t="inlineStr">
        <is>
          <t>NOS</t>
        </is>
      </c>
      <c r="F24" s="4" t="n">
        <v>5363.44</v>
      </c>
      <c r="G24" s="4">
        <f>ROUND(D24*F24, 2)</f>
        <v/>
      </c>
    </row>
    <row r="25">
      <c r="A25" t="n">
        <v>20</v>
      </c>
      <c r="B25" t="inlineStr">
        <is>
          <t>0504130332</t>
        </is>
      </c>
      <c r="C25" t="inlineStr">
        <is>
          <t>G.I. Stay Set LT (1680X16MM) WRKG LD-5100KG</t>
        </is>
      </c>
      <c r="D25" s="3" t="n">
        <v>2</v>
      </c>
      <c r="E25" t="inlineStr">
        <is>
          <t>SET</t>
        </is>
      </c>
      <c r="F25" s="4" t="n">
        <v>462.17</v>
      </c>
      <c r="G25" s="4">
        <f>ROUND(D25*F25, 2)</f>
        <v/>
      </c>
    </row>
    <row r="26">
      <c r="A26" t="n">
        <v>21</v>
      </c>
      <c r="B26" t="inlineStr">
        <is>
          <t>0503050611</t>
        </is>
      </c>
      <c r="C26" t="inlineStr">
        <is>
          <t>G.I. Stay Wire 7/2.5MM (12 SWG)</t>
        </is>
      </c>
      <c r="D26" s="5" t="n">
        <v>0.008</v>
      </c>
      <c r="E26" t="inlineStr">
        <is>
          <t>MT</t>
        </is>
      </c>
      <c r="F26" s="4" t="n">
        <v>145404.64</v>
      </c>
      <c r="G26" s="4">
        <f>ROUND(D26*F26, 2)</f>
        <v/>
      </c>
    </row>
    <row r="27">
      <c r="A27" t="n">
        <v>22</v>
      </c>
      <c r="B27" t="inlineStr">
        <is>
          <t>0508040741</t>
        </is>
      </c>
      <c r="C27" t="inlineStr">
        <is>
          <t>Porcelain Guy Insulator LT</t>
        </is>
      </c>
      <c r="D27" s="3" t="n">
        <v>2</v>
      </c>
      <c r="E27" t="inlineStr">
        <is>
          <t>NOS</t>
        </is>
      </c>
      <c r="F27" s="4" t="n">
        <v>18.37</v>
      </c>
      <c r="G27" s="4">
        <f>ROUND(D27*F27, 2)</f>
        <v/>
      </c>
    </row>
    <row r="28">
      <c r="A28" t="n">
        <v>23</v>
      </c>
      <c r="B28" t="inlineStr">
        <is>
          <t>597011741</t>
        </is>
      </c>
      <c r="C28" t="inlineStr">
        <is>
          <t>UH-Diron Clump</t>
        </is>
      </c>
      <c r="D28" s="3" t="n">
        <v>8</v>
      </c>
      <c r="E28" t="inlineStr">
        <is>
          <t>NOS</t>
        </is>
      </c>
      <c r="F28" s="4" t="n">
        <v>0</v>
      </c>
      <c r="G28" s="4">
        <f>ROUND(D28*F28, 2)</f>
        <v/>
      </c>
    </row>
    <row r="29">
      <c r="A29" t="n">
        <v>24</v>
      </c>
      <c r="B29" t="inlineStr">
        <is>
          <t>0508040441</t>
        </is>
      </c>
      <c r="C29" t="inlineStr">
        <is>
          <t>Porcelain Shackle Insulator</t>
        </is>
      </c>
      <c r="D29" s="3" t="n">
        <v>8</v>
      </c>
      <c r="E29" t="inlineStr">
        <is>
          <t>NOS</t>
        </is>
      </c>
      <c r="F29" s="4" t="n">
        <v>23.34</v>
      </c>
      <c r="G29" s="4">
        <f>ROUND(D29*F29, 2)</f>
        <v/>
      </c>
    </row>
    <row r="30">
      <c r="A30" t="n">
        <v>25</v>
      </c>
      <c r="B30" t="inlineStr">
        <is>
          <t>0508030541</t>
        </is>
      </c>
      <c r="C30" t="inlineStr">
        <is>
          <t>11 KV Polymer Composite Disc Insulator 45KN</t>
        </is>
      </c>
      <c r="D30" s="3" t="n">
        <v>18</v>
      </c>
      <c r="E30" t="inlineStr">
        <is>
          <t>NOS</t>
        </is>
      </c>
      <c r="F30" s="4" t="n">
        <v>183.15</v>
      </c>
      <c r="G30" s="4">
        <f>ROUND(D30*F30, 2)</f>
        <v/>
      </c>
    </row>
    <row r="31">
      <c r="A31" t="n">
        <v>26</v>
      </c>
      <c r="B31" t="inlineStr">
        <is>
          <t>0504010132</t>
        </is>
      </c>
      <c r="C31" t="inlineStr">
        <is>
          <t>Composite Hardware Fittings for ACSR Weasel/Rabbit (30/50SQMM)</t>
        </is>
      </c>
      <c r="D31" s="3" t="n">
        <v>18</v>
      </c>
      <c r="E31" t="inlineStr">
        <is>
          <t>SET</t>
        </is>
      </c>
      <c r="F31" s="4" t="n">
        <v>327.83</v>
      </c>
      <c r="G31" s="4">
        <f>ROUND(D31*F31, 2)</f>
        <v/>
      </c>
    </row>
    <row r="32">
      <c r="A32" t="n">
        <v>27</v>
      </c>
      <c r="B32" t="inlineStr">
        <is>
          <t>0502010621</t>
        </is>
      </c>
      <c r="C32" t="inlineStr">
        <is>
          <t>ACSR Conductor 30SQMM (Weasel)</t>
        </is>
      </c>
      <c r="D32" s="5" t="n">
        <v>0.165</v>
      </c>
      <c r="E32" t="inlineStr">
        <is>
          <t>KM</t>
        </is>
      </c>
      <c r="F32" s="4" t="n">
        <v>38139.33</v>
      </c>
      <c r="G32" s="4">
        <f>ROUND(D32*F32, 2)</f>
        <v/>
      </c>
    </row>
    <row r="33">
      <c r="A33" t="n">
        <v>28</v>
      </c>
      <c r="B33" t="inlineStr">
        <is>
          <t>0504070441</t>
        </is>
      </c>
      <c r="C33" t="inlineStr">
        <is>
          <t>LT Spacer 3 Phase 4 Wire</t>
        </is>
      </c>
      <c r="D33" s="3" t="n">
        <v>4</v>
      </c>
      <c r="E33" t="inlineStr">
        <is>
          <t>NOS</t>
        </is>
      </c>
      <c r="F33" s="4" t="n">
        <v>60.11</v>
      </c>
      <c r="G33" s="4">
        <f>ROUND(D33*F33, 2)</f>
        <v/>
      </c>
    </row>
    <row r="34">
      <c r="A34" t="n">
        <v>29</v>
      </c>
      <c r="B34" t="inlineStr">
        <is>
          <t>0503010711</t>
        </is>
      </c>
      <c r="C34" t="inlineStr">
        <is>
          <t>G.I. Wire 4 MM (8 SWG)</t>
        </is>
      </c>
      <c r="D34" s="5" t="n">
        <v>0.008</v>
      </c>
      <c r="E34" t="inlineStr">
        <is>
          <t>MT</t>
        </is>
      </c>
      <c r="F34" s="4" t="n">
        <v>137360.98</v>
      </c>
      <c r="G34" s="4">
        <f>ROUND(D34*F34, 2)</f>
        <v/>
      </c>
    </row>
    <row r="35">
      <c r="A35" t="inlineStr"/>
      <c r="B35" t="inlineStr"/>
      <c r="C35" t="inlineStr">
        <is>
          <t>Material Base Total</t>
        </is>
      </c>
      <c r="D35" t="inlineStr"/>
      <c r="E35" t="inlineStr"/>
      <c r="F35" t="inlineStr"/>
      <c r="G35" s="4">
        <f>ROUND(SUM(G6:G34), 2)</f>
        <v/>
      </c>
    </row>
    <row r="36">
      <c r="A36" t="inlineStr"/>
      <c r="B36" t="inlineStr"/>
      <c r="C36" t="inlineStr">
        <is>
          <t>Add: Escalation @ 5% for FY 24-25</t>
        </is>
      </c>
      <c r="D36" t="inlineStr"/>
      <c r="E36" t="inlineStr"/>
      <c r="F36" t="inlineStr"/>
      <c r="G36" s="4">
        <f>ROUND((G35)*0.05, 2)</f>
        <v/>
      </c>
    </row>
    <row r="37">
      <c r="A37" t="inlineStr"/>
      <c r="B37" t="inlineStr"/>
      <c r="C37" t="inlineStr">
        <is>
          <t>Add: Escalation @ 5% for FY 25-26</t>
        </is>
      </c>
      <c r="D37" t="inlineStr"/>
      <c r="E37" t="inlineStr"/>
      <c r="F37" t="inlineStr"/>
      <c r="G37" s="4">
        <f>ROUND((G35+G36)*0.05, 2)</f>
        <v/>
      </c>
    </row>
    <row r="38">
      <c r="A38" t="inlineStr"/>
      <c r="B38" t="inlineStr"/>
      <c r="C38" t="inlineStr">
        <is>
          <t>Add: Escalation @ 5% for FY 26-27</t>
        </is>
      </c>
      <c r="D38" t="inlineStr"/>
      <c r="E38" t="inlineStr"/>
      <c r="F38" t="inlineStr"/>
      <c r="G38" s="4">
        <f>ROUND((G35+G36+G37)*0.05, 2)</f>
        <v/>
      </c>
    </row>
    <row r="39">
      <c r="A39" t="inlineStr"/>
      <c r="B39" t="inlineStr"/>
      <c r="C39" t="inlineStr">
        <is>
          <t>Add: Sundries @ 5%</t>
        </is>
      </c>
      <c r="D39" t="inlineStr"/>
      <c r="E39" t="inlineStr"/>
      <c r="F39" t="inlineStr"/>
      <c r="G39" s="4">
        <f>ROUND((G35+G36+G37+G38)*0.05, 2)</f>
        <v/>
      </c>
    </row>
    <row r="40">
      <c r="A40" t="inlineStr"/>
      <c r="B40" t="inlineStr"/>
      <c r="C40" s="2" t="inlineStr">
        <is>
          <t>TOTAL MATERIAL COST (A)</t>
        </is>
      </c>
      <c r="D40" t="inlineStr"/>
      <c r="E40" t="inlineStr"/>
      <c r="F40" t="inlineStr"/>
      <c r="G40" s="6">
        <f>ROUND(G35+G36+G37+G38+G39, 2)</f>
        <v/>
      </c>
    </row>
    <row r="42">
      <c r="C42" s="2" t="inlineStr">
        <is>
          <t>B. ERECTION / LABOR</t>
        </is>
      </c>
    </row>
    <row r="43">
      <c r="A43" t="n">
        <v>1</v>
      </c>
      <c r="B43" t="inlineStr"/>
      <c r="C43" t="inlineStr">
        <is>
          <t>Pole GIS Survey</t>
        </is>
      </c>
      <c r="D43" s="3" t="n">
        <v>6</v>
      </c>
      <c r="E43" t="inlineStr">
        <is>
          <t>NOS</t>
        </is>
      </c>
      <c r="F43" s="4" t="n">
        <v>31</v>
      </c>
      <c r="G43" s="4">
        <f>ROUND(D43*F43, 2)</f>
        <v/>
      </c>
    </row>
    <row r="44">
      <c r="A44" t="n">
        <v>2</v>
      </c>
      <c r="B44" t="inlineStr"/>
      <c r="C44" t="inlineStr">
        <is>
          <t>Fixing of Caution Board</t>
        </is>
      </c>
      <c r="D44" s="3" t="n">
        <v>4</v>
      </c>
      <c r="E44" t="inlineStr">
        <is>
          <t>NOS</t>
        </is>
      </c>
      <c r="F44" s="4" t="n">
        <v>24</v>
      </c>
      <c r="G44" s="4">
        <f>ROUND(D44*F44, 2)</f>
        <v/>
      </c>
    </row>
    <row r="45">
      <c r="A45" t="n">
        <v>3</v>
      </c>
      <c r="B45" t="inlineStr"/>
      <c r="C45" t="inlineStr">
        <is>
          <t>Earthing Complete</t>
        </is>
      </c>
      <c r="D45" s="3" t="n">
        <v>13</v>
      </c>
      <c r="E45" t="inlineStr">
        <is>
          <t>NOS</t>
        </is>
      </c>
      <c r="F45" s="4" t="n">
        <v>313</v>
      </c>
      <c r="G45" s="4">
        <f>ROUND(D45*F45, 2)</f>
        <v/>
      </c>
    </row>
    <row r="46">
      <c r="A46" t="n">
        <v>4</v>
      </c>
      <c r="B46" t="inlineStr"/>
      <c r="C46" t="inlineStr">
        <is>
          <t>H.T. Stay Set Complete Labour</t>
        </is>
      </c>
      <c r="D46" s="3" t="n">
        <v>16</v>
      </c>
      <c r="E46" t="inlineStr">
        <is>
          <t>SET</t>
        </is>
      </c>
      <c r="F46" s="4" t="n">
        <v>641</v>
      </c>
      <c r="G46" s="4">
        <f>ROUND(D46*F46, 2)</f>
        <v/>
      </c>
    </row>
    <row r="47">
      <c r="A47" t="n">
        <v>5</v>
      </c>
      <c r="B47" t="inlineStr"/>
      <c r="C47" t="inlineStr">
        <is>
          <t>Erection of S/S DP Structure 9MTR PCC Pole Without Painted</t>
        </is>
      </c>
      <c r="D47" s="3" t="n">
        <v>1</v>
      </c>
      <c r="E47" t="inlineStr">
        <is>
          <t>NOS</t>
        </is>
      </c>
      <c r="F47" s="4" t="n">
        <v>13169</v>
      </c>
      <c r="G47" s="4">
        <f>ROUND(D47*F47, 2)</f>
        <v/>
      </c>
    </row>
    <row r="48">
      <c r="A48" t="n">
        <v>6</v>
      </c>
      <c r="B48" t="inlineStr"/>
      <c r="C48" t="inlineStr">
        <is>
          <t>Fixing of 11KV Pin Insulator</t>
        </is>
      </c>
      <c r="D48" s="3" t="n">
        <v>18</v>
      </c>
      <c r="E48" t="inlineStr">
        <is>
          <t>NOS</t>
        </is>
      </c>
      <c r="F48" s="4" t="n">
        <v>63</v>
      </c>
      <c r="G48" s="4">
        <f>ROUND(D48*F48, 2)</f>
        <v/>
      </c>
    </row>
    <row r="49">
      <c r="A49" t="n">
        <v>7</v>
      </c>
      <c r="B49" t="inlineStr"/>
      <c r="C49" t="inlineStr">
        <is>
          <t>Fixing of 11KV Lightning Arrestor on Structure</t>
        </is>
      </c>
      <c r="D49" s="3" t="n">
        <v>1</v>
      </c>
      <c r="E49" t="inlineStr">
        <is>
          <t>SET</t>
        </is>
      </c>
      <c r="F49" s="4" t="n">
        <v>339</v>
      </c>
      <c r="G49" s="4">
        <f>ROUND(D49*F49, 2)</f>
        <v/>
      </c>
    </row>
    <row r="50">
      <c r="A50" t="n">
        <v>8</v>
      </c>
      <c r="B50" t="inlineStr"/>
      <c r="C50" t="inlineStr">
        <is>
          <t>Fixing of 11KV TPGO Isolator on S/Stn Structure</t>
        </is>
      </c>
      <c r="D50" s="3" t="n">
        <v>1</v>
      </c>
      <c r="E50" t="inlineStr">
        <is>
          <t>SET</t>
        </is>
      </c>
      <c r="F50" s="4" t="n">
        <v>1193</v>
      </c>
      <c r="G50" s="4">
        <f>ROUND(D50*F50, 2)</f>
        <v/>
      </c>
    </row>
    <row r="51">
      <c r="A51" t="n">
        <v>9</v>
      </c>
      <c r="B51" t="inlineStr"/>
      <c r="C51" t="inlineStr">
        <is>
          <t>Fixing of Neutral Earthing of DTR with G</t>
        </is>
      </c>
      <c r="D51" s="3" t="n">
        <v>1</v>
      </c>
      <c r="E51" t="inlineStr">
        <is>
          <t>NOS</t>
        </is>
      </c>
      <c r="F51" s="4" t="n">
        <v>3816</v>
      </c>
      <c r="G51" s="4">
        <f>ROUND(D51*F51, 2)</f>
        <v/>
      </c>
    </row>
    <row r="52">
      <c r="A52" t="n">
        <v>10</v>
      </c>
      <c r="B52" t="inlineStr"/>
      <c r="C52" t="inlineStr">
        <is>
          <t>Erection of 25KVA DTR</t>
        </is>
      </c>
      <c r="D52" s="3" t="n">
        <v>1</v>
      </c>
      <c r="E52" t="inlineStr">
        <is>
          <t>NOS</t>
        </is>
      </c>
      <c r="F52" s="4" t="n">
        <v>1925</v>
      </c>
      <c r="G52" s="4">
        <f>ROUND(D52*F52, 2)</f>
        <v/>
      </c>
    </row>
    <row r="53">
      <c r="A53" t="n">
        <v>11</v>
      </c>
      <c r="B53" t="inlineStr"/>
      <c r="C53" t="inlineStr">
        <is>
          <t>Fixing of LT Distribution KIOSK Single Switch</t>
        </is>
      </c>
      <c r="D53" s="3" t="n">
        <v>1</v>
      </c>
      <c r="E53" t="inlineStr">
        <is>
          <t>NOS</t>
        </is>
      </c>
      <c r="F53" s="4" t="n">
        <v>2155</v>
      </c>
      <c r="G53" s="4">
        <f>ROUND(D53*F53, 2)</f>
        <v/>
      </c>
    </row>
    <row r="54">
      <c r="A54" t="n">
        <v>12</v>
      </c>
      <c r="B54" t="inlineStr"/>
      <c r="C54" t="inlineStr">
        <is>
          <t>DTR Code Painting</t>
        </is>
      </c>
      <c r="D54" s="3" t="n">
        <v>1</v>
      </c>
      <c r="E54" t="inlineStr">
        <is>
          <t>NOS</t>
        </is>
      </c>
      <c r="F54" s="4" t="n">
        <v>65</v>
      </c>
      <c r="G54" s="4">
        <f>ROUND(D54*F54, 2)</f>
        <v/>
      </c>
    </row>
    <row r="55">
      <c r="A55" t="n">
        <v>13</v>
      </c>
      <c r="B55" t="inlineStr"/>
      <c r="C55" t="inlineStr">
        <is>
          <t>Erection of 8MTR PCC Pole (LT) Without Painted</t>
        </is>
      </c>
      <c r="D55" s="3" t="n">
        <v>2</v>
      </c>
      <c r="E55" t="inlineStr">
        <is>
          <t>NOS</t>
        </is>
      </c>
      <c r="F55" s="4" t="n">
        <v>1501</v>
      </c>
      <c r="G55" s="4">
        <f>ROUND(D55*F55, 2)</f>
        <v/>
      </c>
    </row>
    <row r="56">
      <c r="A56" t="n">
        <v>14</v>
      </c>
      <c r="B56" t="inlineStr"/>
      <c r="C56" t="inlineStr">
        <is>
          <t>LT Stay Set Complete Labour</t>
        </is>
      </c>
      <c r="D56" s="3" t="n">
        <v>2</v>
      </c>
      <c r="E56" t="inlineStr">
        <is>
          <t>SET</t>
        </is>
      </c>
      <c r="F56" s="4" t="n">
        <v>555</v>
      </c>
      <c r="G56" s="4">
        <f>ROUND(D56*F56, 2)</f>
        <v/>
      </c>
    </row>
    <row r="57">
      <c r="A57" t="n">
        <v>15</v>
      </c>
      <c r="B57" t="inlineStr"/>
      <c r="C57" t="inlineStr">
        <is>
          <t>Fixing of LT Bracket Without Painted</t>
        </is>
      </c>
      <c r="D57" s="3" t="n">
        <v>2</v>
      </c>
      <c r="E57" t="inlineStr">
        <is>
          <t>NOS</t>
        </is>
      </c>
      <c r="F57" s="4" t="n">
        <v>596</v>
      </c>
      <c r="G57" s="4">
        <f>ROUND(D57*F57, 2)</f>
        <v/>
      </c>
    </row>
    <row r="58">
      <c r="A58" t="n">
        <v>16</v>
      </c>
      <c r="B58" t="inlineStr"/>
      <c r="C58" t="inlineStr">
        <is>
          <t>Fixing of LT Shackle Insulator with N/B</t>
        </is>
      </c>
      <c r="D58" s="3" t="n">
        <v>8</v>
      </c>
      <c r="E58" t="inlineStr">
        <is>
          <t>NOS</t>
        </is>
      </c>
      <c r="F58" s="4" t="n">
        <v>52</v>
      </c>
      <c r="G58" s="4">
        <f>ROUND(D58*F58, 2)</f>
        <v/>
      </c>
    </row>
    <row r="59">
      <c r="A59" t="n">
        <v>17</v>
      </c>
      <c r="B59" t="inlineStr"/>
      <c r="C59" t="inlineStr">
        <is>
          <t>Erection of DP Structure 9MTR PCC Pole HT</t>
        </is>
      </c>
      <c r="D59" s="3" t="n">
        <v>3</v>
      </c>
      <c r="E59" t="inlineStr">
        <is>
          <t>NOS</t>
        </is>
      </c>
      <c r="F59" s="4" t="n">
        <v>9438</v>
      </c>
      <c r="G59" s="4">
        <f>ROUND(D59*F59, 2)</f>
        <v/>
      </c>
    </row>
    <row r="60">
      <c r="A60" t="n">
        <v>18</v>
      </c>
      <c r="B60" t="inlineStr"/>
      <c r="C60" t="inlineStr">
        <is>
          <t>Fixing of 11KV Disc Insulator with Strain Hardware</t>
        </is>
      </c>
      <c r="D60" s="3" t="n">
        <v>18</v>
      </c>
      <c r="E60" t="inlineStr">
        <is>
          <t>NOS</t>
        </is>
      </c>
      <c r="F60" s="4" t="n">
        <v>65</v>
      </c>
      <c r="G60" s="4">
        <f>ROUND(D60*F60, 2)</f>
        <v/>
      </c>
    </row>
    <row r="61">
      <c r="A61" t="n">
        <v>19</v>
      </c>
      <c r="B61" t="inlineStr"/>
      <c r="C61" t="inlineStr">
        <is>
          <t>Stringing &amp; Sagging ACSR 30SQMM 4 Wire</t>
        </is>
      </c>
      <c r="D61" s="5" t="n">
        <v>0.04</v>
      </c>
      <c r="E61" t="inlineStr">
        <is>
          <t>KM</t>
        </is>
      </c>
      <c r="F61" s="4" t="n">
        <v>8821</v>
      </c>
      <c r="G61" s="4">
        <f>ROUND(D61*F61, 2)</f>
        <v/>
      </c>
    </row>
    <row r="62">
      <c r="A62" t="n">
        <v>20</v>
      </c>
      <c r="B62" t="inlineStr"/>
      <c r="C62" t="inlineStr">
        <is>
          <t>Survey for L.T.O.H Line</t>
        </is>
      </c>
      <c r="D62" s="5" t="n">
        <v>0.04</v>
      </c>
      <c r="E62" t="inlineStr">
        <is>
          <t>KM</t>
        </is>
      </c>
      <c r="F62" s="4" t="n">
        <v>1714</v>
      </c>
      <c r="G62" s="4">
        <f>ROUND(D62*F62, 2)</f>
        <v/>
      </c>
    </row>
    <row r="63">
      <c r="A63" t="n">
        <v>21</v>
      </c>
      <c r="B63" t="inlineStr"/>
      <c r="C63" t="inlineStr">
        <is>
          <t>Fixing of LT Spacer</t>
        </is>
      </c>
      <c r="D63" s="3" t="n">
        <v>4</v>
      </c>
      <c r="E63" t="inlineStr">
        <is>
          <t>NOS</t>
        </is>
      </c>
      <c r="F63" s="4" t="n">
        <v>56</v>
      </c>
      <c r="G63" s="4">
        <f>ROUND(D63*F63, 2)</f>
        <v/>
      </c>
    </row>
    <row r="64">
      <c r="A64" t="n">
        <v>22</v>
      </c>
      <c r="B64" t="inlineStr"/>
      <c r="C64" t="inlineStr">
        <is>
          <t>Fixing Cross Lacing Wire</t>
        </is>
      </c>
      <c r="D64" s="3" t="n">
        <v>40</v>
      </c>
      <c r="E64" t="inlineStr">
        <is>
          <t>NOS</t>
        </is>
      </c>
      <c r="F64" s="4" t="n">
        <v>15</v>
      </c>
      <c r="G64" s="4">
        <f>ROUND(D64*F64, 2)</f>
        <v/>
      </c>
    </row>
    <row r="65">
      <c r="A65" t="n">
        <v>23</v>
      </c>
      <c r="B65" t="inlineStr"/>
      <c r="C65" t="inlineStr">
        <is>
          <t>Stringing &amp; Sagging ACSR 50SQMM 3 Wire</t>
        </is>
      </c>
      <c r="D65" s="5" t="n">
        <v>0.08</v>
      </c>
      <c r="E65" t="inlineStr">
        <is>
          <t>KM</t>
        </is>
      </c>
      <c r="F65" s="4" t="n">
        <v>8289</v>
      </c>
      <c r="G65" s="4">
        <f>ROUND(D65*F65, 2)</f>
        <v/>
      </c>
    </row>
    <row r="66">
      <c r="A66" t="n">
        <v>24</v>
      </c>
      <c r="B66" t="inlineStr"/>
      <c r="C66" t="inlineStr">
        <is>
          <t>Survey for H.T.O.H Line</t>
        </is>
      </c>
      <c r="D66" s="5" t="n">
        <v>0.08</v>
      </c>
      <c r="E66" t="inlineStr">
        <is>
          <t>KM</t>
        </is>
      </c>
      <c r="F66" s="4" t="n">
        <v>2761</v>
      </c>
      <c r="G66" s="4">
        <f>ROUND(D66*F66, 2)</f>
        <v/>
      </c>
    </row>
    <row r="67">
      <c r="A67" t="inlineStr"/>
      <c r="B67" t="inlineStr"/>
      <c r="C67" s="2" t="inlineStr">
        <is>
          <t>TOTAL LABOR COST (B)</t>
        </is>
      </c>
      <c r="D67" t="inlineStr"/>
      <c r="E67" t="inlineStr"/>
      <c r="F67" t="inlineStr"/>
      <c r="G67" s="6">
        <f>ROUND(SUM(G43:G66), 2)</f>
        <v/>
      </c>
    </row>
    <row r="69">
      <c r="C69" s="2" t="inlineStr">
        <is>
          <t>C. OVERHEADS &amp; TAXES</t>
        </is>
      </c>
    </row>
    <row r="70">
      <c r="A70" t="inlineStr"/>
      <c r="B70" t="inlineStr"/>
      <c r="C70" t="inlineStr">
        <is>
          <t>Supervision @ 10% on (A+B)</t>
        </is>
      </c>
      <c r="D70" t="inlineStr"/>
      <c r="E70" t="inlineStr"/>
      <c r="F70" t="inlineStr"/>
      <c r="G70" s="4">
        <f>ROUND((G40+G67)*0.1, 2)</f>
        <v/>
      </c>
    </row>
    <row r="71">
      <c r="A71" t="inlineStr"/>
      <c r="B71" t="inlineStr"/>
      <c r="C71" t="inlineStr">
        <is>
          <t>GST @ 18% on Labour only</t>
        </is>
      </c>
      <c r="D71" t="inlineStr"/>
      <c r="E71" t="inlineStr"/>
      <c r="F71" t="inlineStr"/>
      <c r="G71" s="4">
        <f>ROUND(G67*0.18, 2)</f>
        <v/>
      </c>
    </row>
    <row r="72">
      <c r="A72" t="inlineStr"/>
      <c r="B72" t="inlineStr"/>
      <c r="C72" t="inlineStr">
        <is>
          <t>Sub-Total</t>
        </is>
      </c>
      <c r="D72" t="inlineStr"/>
      <c r="E72" t="inlineStr"/>
      <c r="F72" t="inlineStr"/>
      <c r="G72" s="4">
        <f>ROUND(G40+G67+G70+G71, 2)</f>
        <v/>
      </c>
    </row>
    <row r="73">
      <c r="A73" t="inlineStr"/>
      <c r="B73" t="inlineStr"/>
      <c r="C73" t="inlineStr">
        <is>
          <t>Add: Cess @ 1% on (Mat+Lab+Sup)</t>
        </is>
      </c>
      <c r="D73" t="inlineStr"/>
      <c r="E73" t="inlineStr"/>
      <c r="F73" t="inlineStr"/>
      <c r="G73" s="4">
        <f>ROUND((G40+G67+G70)*0.01, 2)</f>
        <v/>
      </c>
    </row>
    <row r="74">
      <c r="A74" t="inlineStr"/>
      <c r="B74" t="inlineStr"/>
      <c r="C74" s="7" t="inlineStr">
        <is>
          <t>GRAND TOTAL</t>
        </is>
      </c>
      <c r="D74" t="inlineStr"/>
      <c r="E74" t="inlineStr"/>
      <c r="F74" t="inlineStr"/>
      <c r="G74" s="8">
        <f>ROUND(G72+G73, 2)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7" customWidth="1" min="3" max="3"/>
    <col width="15" customWidth="1" min="4" max="4"/>
    <col width="11" customWidth="1" min="5" max="5"/>
    <col width="13" customWidth="1" min="6" max="6"/>
  </cols>
  <sheetData>
    <row r="1" ht="30" customHeight="1">
      <c r="A1" s="9" t="inlineStr">
        <is>
          <t>IRON CALCULATION BREAKUP</t>
        </is>
      </c>
    </row>
    <row r="2" ht="18" customHeight="1">
      <c r="A2" s="10" t="inlineStr">
        <is>
          <t>No.</t>
        </is>
      </c>
      <c r="B2" s="11" t="inlineStr">
        <is>
          <t>Description</t>
        </is>
      </c>
      <c r="C2" s="10" t="inlineStr">
        <is>
          <t>No</t>
        </is>
      </c>
      <c r="D2" s="10" t="inlineStr">
        <is>
          <t>Length (m)</t>
        </is>
      </c>
      <c r="E2" s="10" t="inlineStr">
        <is>
          <t>Total (m)</t>
        </is>
      </c>
      <c r="F2" s="10" t="inlineStr">
        <is>
          <t>Iron (MT)</t>
        </is>
      </c>
    </row>
    <row r="3" ht="22" customHeight="1">
      <c r="A3" s="12" t="inlineStr">
        <is>
          <t>A</t>
        </is>
      </c>
      <c r="B3" s="13" t="inlineStr">
        <is>
          <t>M.S. Channel (75X40mm)  —  6.8 kg/m</t>
        </is>
      </c>
      <c r="C3" s="14" t="n"/>
      <c r="D3" s="14" t="n"/>
      <c r="E3" s="15" t="n"/>
      <c r="F3" s="12" t="inlineStr">
        <is>
          <t>Iron (MT)</t>
        </is>
      </c>
    </row>
    <row r="4" ht="18" customHeight="1">
      <c r="A4" s="16" t="n"/>
      <c r="B4" s="16" t="inlineStr">
        <is>
          <t xml:space="preserve">  ↳  LT Pole Iron — LT Pole Iron Recipe  (2 nos on canvas)</t>
        </is>
      </c>
      <c r="C4" s="14" t="n"/>
      <c r="D4" s="14" t="n"/>
      <c r="E4" s="14" t="n"/>
      <c r="F4" s="15" t="n"/>
    </row>
    <row r="5" ht="17" customHeight="1">
      <c r="A5" s="17" t="n">
        <v>1</v>
      </c>
      <c r="B5" s="18" t="inlineStr">
        <is>
          <t>Single Pole (V-Bracket &amp; Top Adaptor)</t>
        </is>
      </c>
      <c r="C5" s="17" t="n">
        <v>2</v>
      </c>
      <c r="D5" s="18">
        <f>1.5+0.3</f>
        <v/>
      </c>
      <c r="E5" s="19">
        <f>C5*D5</f>
        <v/>
      </c>
      <c r="F5" s="20">
        <f>ROUND(E5*6.8/1000,6)</f>
        <v/>
      </c>
    </row>
    <row r="6" ht="18" customHeight="1">
      <c r="A6" s="21" t="n"/>
      <c r="B6" s="21" t="inlineStr">
        <is>
          <t xml:space="preserve">  Iron Total — LT Pole Iron — LT Pole Iron Recipe</t>
        </is>
      </c>
      <c r="C6" s="21" t="n"/>
      <c r="D6" s="21" t="n"/>
      <c r="E6" s="22">
        <f>SUM(E5:E5)</f>
        <v/>
      </c>
      <c r="F6" s="23">
        <f>SUM(F5:F5)</f>
        <v/>
      </c>
    </row>
    <row r="7" ht="18" customHeight="1">
      <c r="A7" s="16" t="n"/>
      <c r="B7" s="16" t="inlineStr">
        <is>
          <t xml:space="preserve">  ↳  DP Structure Iron  (3 nos on canvas)</t>
        </is>
      </c>
      <c r="C7" s="14" t="n"/>
      <c r="D7" s="14" t="n"/>
      <c r="E7" s="14" t="n"/>
      <c r="F7" s="15" t="n"/>
    </row>
    <row r="8" ht="17" customHeight="1">
      <c r="A8" s="17" t="n">
        <v>1</v>
      </c>
      <c r="B8" s="18" t="inlineStr">
        <is>
          <t>Double Pole Structure (Channel)</t>
        </is>
      </c>
      <c r="C8" s="17" t="n">
        <v>3</v>
      </c>
      <c r="D8" s="18">
        <f>2*2.5</f>
        <v/>
      </c>
      <c r="E8" s="19">
        <f>C8*D8</f>
        <v/>
      </c>
      <c r="F8" s="20">
        <f>ROUND(E8*6.8/1000,6)</f>
        <v/>
      </c>
    </row>
    <row r="9" ht="18" customHeight="1">
      <c r="A9" s="21" t="n"/>
      <c r="B9" s="21" t="inlineStr">
        <is>
          <t xml:space="preserve">  Iron Total — DP Structure Iron</t>
        </is>
      </c>
      <c r="C9" s="21" t="n"/>
      <c r="D9" s="21" t="n"/>
      <c r="E9" s="22">
        <f>SUM(E8:E8)</f>
        <v/>
      </c>
      <c r="F9" s="23">
        <f>SUM(F8:F8)</f>
        <v/>
      </c>
    </row>
    <row r="10" ht="18" customHeight="1">
      <c r="A10" s="16" t="n"/>
      <c r="B10" s="16" t="inlineStr">
        <is>
          <t xml:space="preserve">  ↳  DTR Substation Iron  (1 nos on canvas)</t>
        </is>
      </c>
      <c r="C10" s="14" t="n"/>
      <c r="D10" s="14" t="n"/>
      <c r="E10" s="14" t="n"/>
      <c r="F10" s="15" t="n"/>
    </row>
    <row r="11" ht="17" customHeight="1">
      <c r="A11" s="17" t="n">
        <v>1</v>
      </c>
      <c r="B11" s="18" t="inlineStr">
        <is>
          <t>Sub-Stn Top</t>
        </is>
      </c>
      <c r="C11" s="17" t="n">
        <v>1</v>
      </c>
      <c r="D11" s="18">
        <f>2*2.25</f>
        <v/>
      </c>
      <c r="E11" s="19">
        <f>C11*D11</f>
        <v/>
      </c>
      <c r="F11" s="20">
        <f>ROUND(E11*6.8/1000,6)</f>
        <v/>
      </c>
    </row>
    <row r="12" ht="17" customHeight="1">
      <c r="A12" s="24" t="n">
        <v>2</v>
      </c>
      <c r="B12" s="25" t="inlineStr">
        <is>
          <t>Isolator Support</t>
        </is>
      </c>
      <c r="C12" s="24" t="n">
        <v>1</v>
      </c>
      <c r="D12" s="25">
        <f>2*2.25</f>
        <v/>
      </c>
      <c r="E12" s="26">
        <f>C12*D12</f>
        <v/>
      </c>
      <c r="F12" s="27">
        <f>ROUND(E12*6.8/1000,6)</f>
        <v/>
      </c>
    </row>
    <row r="13" ht="17" customHeight="1">
      <c r="A13" s="17" t="n">
        <v>3</v>
      </c>
      <c r="B13" s="18" t="inlineStr">
        <is>
          <t>Transformer Base</t>
        </is>
      </c>
      <c r="C13" s="17" t="n">
        <v>1</v>
      </c>
      <c r="D13" s="18">
        <f>2*2.25</f>
        <v/>
      </c>
      <c r="E13" s="19">
        <f>C13*D13</f>
        <v/>
      </c>
      <c r="F13" s="20">
        <f>ROUND(E13*6.8/1000,6)</f>
        <v/>
      </c>
    </row>
    <row r="14" ht="17" customHeight="1">
      <c r="A14" s="24" t="n">
        <v>4</v>
      </c>
      <c r="B14" s="25" t="inlineStr">
        <is>
          <t>I-Bolt &amp; Handle</t>
        </is>
      </c>
      <c r="C14" s="24" t="n">
        <v>1</v>
      </c>
      <c r="D14" s="25">
        <f>2*0.5</f>
        <v/>
      </c>
      <c r="E14" s="26">
        <f>C14*D14</f>
        <v/>
      </c>
      <c r="F14" s="27">
        <f>ROUND(E14*6.8/1000,6)</f>
        <v/>
      </c>
    </row>
    <row r="15" ht="18" customHeight="1">
      <c r="A15" s="21" t="n"/>
      <c r="B15" s="21" t="inlineStr">
        <is>
          <t xml:space="preserve">  Iron Total — DTR Substation Iron</t>
        </is>
      </c>
      <c r="C15" s="21" t="n"/>
      <c r="D15" s="21" t="n"/>
      <c r="E15" s="22">
        <f>SUM(E11:E14)</f>
        <v/>
      </c>
      <c r="F15" s="23">
        <f>SUM(F11:F14)</f>
        <v/>
      </c>
    </row>
    <row r="16" ht="20" customHeight="1">
      <c r="A16" s="28" t="n"/>
      <c r="B16" s="28" t="inlineStr">
        <is>
          <t>Section Total — M.S. Channel (75X40mm)</t>
        </is>
      </c>
      <c r="C16" s="28" t="n"/>
      <c r="D16" s="28" t="n"/>
      <c r="E16" s="28" t="n"/>
      <c r="F16" s="29">
        <f>ROUND(F6+F9+F15,3)</f>
        <v/>
      </c>
    </row>
    <row r="18" ht="22" customHeight="1">
      <c r="A18" s="12" t="inlineStr">
        <is>
          <t>B</t>
        </is>
      </c>
      <c r="B18" s="13" t="inlineStr">
        <is>
          <t>M.S. Angle (65X65X6mm)  —  5.8 kg/m</t>
        </is>
      </c>
      <c r="C18" s="14" t="n"/>
      <c r="D18" s="14" t="n"/>
      <c r="E18" s="15" t="n"/>
      <c r="F18" s="12" t="inlineStr">
        <is>
          <t>Iron (MT)</t>
        </is>
      </c>
    </row>
    <row r="19" ht="18" customHeight="1">
      <c r="A19" s="16" t="n"/>
      <c r="B19" s="16" t="inlineStr">
        <is>
          <t xml:space="preserve">  ↳  DTR Substation Iron  (1 nos on canvas)</t>
        </is>
      </c>
      <c r="C19" s="14" t="n"/>
      <c r="D19" s="14" t="n"/>
      <c r="E19" s="14" t="n"/>
      <c r="F19" s="15" t="n"/>
    </row>
    <row r="20" ht="17" customHeight="1">
      <c r="A20" s="17" t="n">
        <v>1</v>
      </c>
      <c r="B20" s="18" t="inlineStr">
        <is>
          <t>H.T. Fuse Unit</t>
        </is>
      </c>
      <c r="C20" s="17" t="n">
        <v>1</v>
      </c>
      <c r="D20" s="18">
        <f>2*2.25</f>
        <v/>
      </c>
      <c r="E20" s="19">
        <f>C20*D20</f>
        <v/>
      </c>
      <c r="F20" s="20">
        <f>ROUND(E20*5.8/1000,6)</f>
        <v/>
      </c>
    </row>
    <row r="21" ht="17" customHeight="1">
      <c r="A21" s="24" t="n">
        <v>2</v>
      </c>
      <c r="B21" s="25" t="inlineStr">
        <is>
          <t>Sub-Stn Main Switch Angle</t>
        </is>
      </c>
      <c r="C21" s="24" t="n">
        <v>1</v>
      </c>
      <c r="D21" s="25">
        <f>2*2.25</f>
        <v/>
      </c>
      <c r="E21" s="26">
        <f>C21*D21</f>
        <v/>
      </c>
      <c r="F21" s="27">
        <f>ROUND(E21*5.8/1000,6)</f>
        <v/>
      </c>
    </row>
    <row r="22" ht="17" customHeight="1">
      <c r="A22" s="17" t="n">
        <v>3</v>
      </c>
      <c r="B22" s="18" t="inlineStr">
        <is>
          <t>Angle Support on Sub-Stn</t>
        </is>
      </c>
      <c r="C22" s="17" t="n">
        <v>1</v>
      </c>
      <c r="D22" s="18">
        <f>2*0.5</f>
        <v/>
      </c>
      <c r="E22" s="19">
        <f>C22*D22</f>
        <v/>
      </c>
      <c r="F22" s="20">
        <f>ROUND(E22*5.8/1000,6)</f>
        <v/>
      </c>
    </row>
    <row r="23" ht="18" customHeight="1">
      <c r="A23" s="21" t="n"/>
      <c r="B23" s="21" t="inlineStr">
        <is>
          <t xml:space="preserve">  Iron Total — DTR Substation Iron</t>
        </is>
      </c>
      <c r="C23" s="21" t="n"/>
      <c r="D23" s="21" t="n"/>
      <c r="E23" s="22">
        <f>SUM(E20:E22)</f>
        <v/>
      </c>
      <c r="F23" s="23">
        <f>SUM(F20:F22)</f>
        <v/>
      </c>
    </row>
    <row r="24" ht="18" customHeight="1">
      <c r="A24" s="16" t="n"/>
      <c r="B24" s="16" t="inlineStr">
        <is>
          <t xml:space="preserve">  ↳  LT ACSR Bracket (2 poles)  (2 nos on canvas)</t>
        </is>
      </c>
      <c r="C24" s="14" t="n"/>
      <c r="D24" s="14" t="n"/>
      <c r="E24" s="14" t="n"/>
      <c r="F24" s="15" t="n"/>
    </row>
    <row r="25" ht="17" customHeight="1">
      <c r="A25" s="17" t="n">
        <v>1</v>
      </c>
      <c r="B25" s="18" t="inlineStr">
        <is>
          <t>LT ACSR Bracket (Angle)</t>
        </is>
      </c>
      <c r="C25" s="17" t="n">
        <v>2</v>
      </c>
      <c r="D25" s="18">
        <f>1</f>
        <v/>
      </c>
      <c r="E25" s="19">
        <f>C25*D25</f>
        <v/>
      </c>
      <c r="F25" s="20">
        <f>ROUND(E25*5.8/1000,6)</f>
        <v/>
      </c>
    </row>
    <row r="26" ht="18" customHeight="1">
      <c r="A26" s="21" t="n"/>
      <c r="B26" s="21" t="inlineStr">
        <is>
          <t xml:space="preserve">  Iron Total — LT ACSR Bracket (2 poles)</t>
        </is>
      </c>
      <c r="C26" s="21" t="n"/>
      <c r="D26" s="21" t="n"/>
      <c r="E26" s="22">
        <f>SUM(E25:E25)</f>
        <v/>
      </c>
      <c r="F26" s="23">
        <f>SUM(F25:F25)</f>
        <v/>
      </c>
    </row>
    <row r="27" ht="20" customHeight="1">
      <c r="A27" s="28" t="n"/>
      <c r="B27" s="28" t="inlineStr">
        <is>
          <t>Section Total — M.S. Angle (65X65X6mm)</t>
        </is>
      </c>
      <c r="C27" s="28" t="n"/>
      <c r="D27" s="28" t="n"/>
      <c r="E27" s="28" t="n"/>
      <c r="F27" s="29">
        <f>ROUND(F23+F26,3)</f>
        <v/>
      </c>
    </row>
    <row r="29" ht="22" customHeight="1">
      <c r="A29" s="12" t="inlineStr">
        <is>
          <t>C</t>
        </is>
      </c>
      <c r="B29" s="13" t="inlineStr">
        <is>
          <t>M.S. Flat (65X6mm)  —  3.1 kg/m</t>
        </is>
      </c>
      <c r="C29" s="14" t="n"/>
      <c r="D29" s="14" t="n"/>
      <c r="E29" s="15" t="n"/>
      <c r="F29" s="12" t="inlineStr">
        <is>
          <t>Iron (MT)</t>
        </is>
      </c>
    </row>
    <row r="30" ht="18" customHeight="1">
      <c r="A30" s="16" t="n"/>
      <c r="B30" s="16" t="inlineStr">
        <is>
          <t xml:space="preserve">  ↳  LT Pole Iron — LT Pole Iron Recipe  (2 nos on canvas)</t>
        </is>
      </c>
      <c r="C30" s="14" t="n"/>
      <c r="D30" s="14" t="n"/>
      <c r="E30" s="14" t="n"/>
      <c r="F30" s="15" t="n"/>
    </row>
    <row r="31" ht="17" customHeight="1">
      <c r="A31" s="17" t="n">
        <v>1</v>
      </c>
      <c r="B31" s="18" t="inlineStr">
        <is>
          <t>No. of L.T. Pole (Clamp Flat)</t>
        </is>
      </c>
      <c r="C31" s="17" t="n">
        <v>2</v>
      </c>
      <c r="D31" s="18">
        <f>1</f>
        <v/>
      </c>
      <c r="E31" s="19">
        <f>C31*D31</f>
        <v/>
      </c>
      <c r="F31" s="20">
        <f>ROUND(E31*3.1/1000,6)</f>
        <v/>
      </c>
    </row>
    <row r="32" ht="18" customHeight="1">
      <c r="A32" s="21" t="n"/>
      <c r="B32" s="21" t="inlineStr">
        <is>
          <t xml:space="preserve">  Iron Total — LT Pole Iron — LT Pole Iron Recipe</t>
        </is>
      </c>
      <c r="C32" s="21" t="n"/>
      <c r="D32" s="21" t="n"/>
      <c r="E32" s="22">
        <f>SUM(E31:E31)</f>
        <v/>
      </c>
      <c r="F32" s="23">
        <f>SUM(F31:F31)</f>
        <v/>
      </c>
    </row>
    <row r="33" ht="18" customHeight="1">
      <c r="A33" s="16" t="n"/>
      <c r="B33" s="16" t="inlineStr">
        <is>
          <t xml:space="preserve">  ↳  DP Structure Iron  (3 nos on canvas)</t>
        </is>
      </c>
      <c r="C33" s="14" t="n"/>
      <c r="D33" s="14" t="n"/>
      <c r="E33" s="14" t="n"/>
      <c r="F33" s="15" t="n"/>
    </row>
    <row r="34" ht="17" customHeight="1">
      <c r="A34" s="17" t="n">
        <v>1</v>
      </c>
      <c r="B34" s="18" t="inlineStr">
        <is>
          <t>Line D.P. (Flat Clamp)</t>
        </is>
      </c>
      <c r="C34" s="17" t="n">
        <v>3</v>
      </c>
      <c r="D34" s="18">
        <f>2</f>
        <v/>
      </c>
      <c r="E34" s="19">
        <f>C34*D34</f>
        <v/>
      </c>
      <c r="F34" s="20">
        <f>ROUND(E34*3.1/1000,6)</f>
        <v/>
      </c>
    </row>
    <row r="35" ht="18" customHeight="1">
      <c r="A35" s="21" t="n"/>
      <c r="B35" s="21" t="inlineStr">
        <is>
          <t xml:space="preserve">  Iron Total — DP Structure Iron</t>
        </is>
      </c>
      <c r="C35" s="21" t="n"/>
      <c r="D35" s="21" t="n"/>
      <c r="E35" s="22">
        <f>SUM(E34:E34)</f>
        <v/>
      </c>
      <c r="F35" s="23">
        <f>SUM(F34:F34)</f>
        <v/>
      </c>
    </row>
    <row r="36" ht="18" customHeight="1">
      <c r="A36" s="16" t="n"/>
      <c r="B36" s="16" t="inlineStr">
        <is>
          <t xml:space="preserve">  ↳  DTR Substation Iron  (1 nos on canvas)</t>
        </is>
      </c>
      <c r="C36" s="14" t="n"/>
      <c r="D36" s="14" t="n"/>
      <c r="E36" s="14" t="n"/>
      <c r="F36" s="15" t="n"/>
    </row>
    <row r="37" ht="17" customHeight="1">
      <c r="A37" s="17" t="n">
        <v>1</v>
      </c>
      <c r="B37" s="18" t="inlineStr">
        <is>
          <t>No. of H.T. Clamp Sub-Stn</t>
        </is>
      </c>
      <c r="C37" s="17" t="n">
        <v>1</v>
      </c>
      <c r="D37" s="18">
        <f>28*0.5</f>
        <v/>
      </c>
      <c r="E37" s="19">
        <f>C37*D37</f>
        <v/>
      </c>
      <c r="F37" s="20">
        <f>ROUND(E37*3.1/1000,6)</f>
        <v/>
      </c>
    </row>
    <row r="38" ht="18" customHeight="1">
      <c r="A38" s="21" t="n"/>
      <c r="B38" s="21" t="inlineStr">
        <is>
          <t xml:space="preserve">  Iron Total — DTR Substation Iron</t>
        </is>
      </c>
      <c r="C38" s="21" t="n"/>
      <c r="D38" s="21" t="n"/>
      <c r="E38" s="22">
        <f>SUM(E37:E37)</f>
        <v/>
      </c>
      <c r="F38" s="23">
        <f>SUM(F37:F37)</f>
        <v/>
      </c>
    </row>
    <row r="39" ht="18" customHeight="1">
      <c r="A39" s="16" t="n"/>
      <c r="B39" s="16" t="inlineStr">
        <is>
          <t xml:space="preserve">  ↳  LT ACSR Bracket (2 poles)  (2 nos on canvas)</t>
        </is>
      </c>
      <c r="C39" s="14" t="n"/>
      <c r="D39" s="14" t="n"/>
      <c r="E39" s="14" t="n"/>
      <c r="F39" s="15" t="n"/>
    </row>
    <row r="40" ht="17" customHeight="1">
      <c r="A40" s="17" t="n">
        <v>1</v>
      </c>
      <c r="B40" s="18" t="inlineStr">
        <is>
          <t>LT ACSR Bracket (Flat)</t>
        </is>
      </c>
      <c r="C40" s="17" t="n">
        <v>2</v>
      </c>
      <c r="D40" s="18">
        <f>1</f>
        <v/>
      </c>
      <c r="E40" s="19">
        <f>C40*D40</f>
        <v/>
      </c>
      <c r="F40" s="20">
        <f>ROUND(E40*3.1/1000,6)</f>
        <v/>
      </c>
    </row>
    <row r="41" ht="18" customHeight="1">
      <c r="A41" s="21" t="n"/>
      <c r="B41" s="21" t="inlineStr">
        <is>
          <t xml:space="preserve">  Iron Total — LT ACSR Bracket (2 poles)</t>
        </is>
      </c>
      <c r="C41" s="21" t="n"/>
      <c r="D41" s="21" t="n"/>
      <c r="E41" s="22">
        <f>SUM(E40:E40)</f>
        <v/>
      </c>
      <c r="F41" s="23">
        <f>SUM(F40:F40)</f>
        <v/>
      </c>
    </row>
    <row r="42" ht="20" customHeight="1">
      <c r="A42" s="28" t="n"/>
      <c r="B42" s="28" t="inlineStr">
        <is>
          <t>Section Total — M.S. Flat (65X6mm)</t>
        </is>
      </c>
      <c r="C42" s="28" t="n"/>
      <c r="D42" s="28" t="n"/>
      <c r="E42" s="28" t="n"/>
      <c r="F42" s="29">
        <f>ROUND(F32+F35+F38+F41,3)</f>
        <v/>
      </c>
    </row>
    <row r="45" ht="24" customHeight="1">
      <c r="A45" s="30" t="inlineStr">
        <is>
          <t>IRON SUMMARY</t>
        </is>
      </c>
    </row>
    <row r="46" ht="17" customHeight="1">
      <c r="A46" s="31" t="n"/>
      <c r="B46" s="31" t="inlineStr">
        <is>
          <t>M.S. Channel (75X40mm)</t>
        </is>
      </c>
      <c r="C46" s="31" t="n"/>
      <c r="D46" s="31" t="n"/>
      <c r="E46" s="31" t="n"/>
      <c r="F46" s="32" t="n">
        <v>0.225</v>
      </c>
    </row>
    <row r="47" ht="17" customHeight="1">
      <c r="A47" s="31" t="n"/>
      <c r="B47" s="31" t="inlineStr">
        <is>
          <t>M.S. Angle (65X65X6mm)</t>
        </is>
      </c>
      <c r="C47" s="31" t="n"/>
      <c r="D47" s="31" t="n"/>
      <c r="E47" s="31" t="n"/>
      <c r="F47" s="32" t="n">
        <v>0.07000000000000001</v>
      </c>
    </row>
    <row r="48" ht="17" customHeight="1">
      <c r="A48" s="31" t="n"/>
      <c r="B48" s="31" t="inlineStr">
        <is>
          <t>M.S. Flat (65X6mm)</t>
        </is>
      </c>
      <c r="C48" s="31" t="n"/>
      <c r="D48" s="31" t="n"/>
      <c r="E48" s="31" t="n"/>
      <c r="F48" s="32" t="n">
        <v>0.074</v>
      </c>
    </row>
    <row r="50" ht="22" customHeight="1">
      <c r="A50" s="33" t="n"/>
      <c r="B50" s="33" t="inlineStr">
        <is>
          <t>TOTAL IRON (as per Estimate):</t>
        </is>
      </c>
      <c r="C50" s="33" t="n"/>
      <c r="D50" s="33" t="n"/>
      <c r="E50" s="33" t="n"/>
      <c r="F50" s="34">
        <f>ROUND(F46+F47+F48,3)</f>
        <v/>
      </c>
    </row>
    <row r="51" ht="18" customHeight="1">
      <c r="A51" s="35" t="n"/>
      <c r="B51" s="35" t="inlineStr">
        <is>
          <t xml:space="preserve">  Add: Fabrication Wastage @ 3%:</t>
        </is>
      </c>
      <c r="C51" s="35" t="n"/>
      <c r="D51" s="35" t="n"/>
      <c r="E51" s="35" t="n"/>
      <c r="F51" s="36">
        <f>ROUND(F50*0.03,3)</f>
        <v/>
      </c>
    </row>
    <row r="52" ht="26" customHeight="1">
      <c r="A52" s="37" t="n"/>
      <c r="B52" s="37" t="inlineStr">
        <is>
          <t>TOTAL IRON (incl. wastage):</t>
        </is>
      </c>
      <c r="C52" s="37" t="n"/>
      <c r="D52" s="37" t="n"/>
      <c r="E52" s="37" t="n"/>
      <c r="F52" s="38">
        <f>ROUND(F50+F51,3)</f>
        <v/>
      </c>
    </row>
  </sheetData>
  <mergeCells count="14">
    <mergeCell ref="B4:F4"/>
    <mergeCell ref="B30:F30"/>
    <mergeCell ref="B18:E18"/>
    <mergeCell ref="B7:F7"/>
    <mergeCell ref="B39:F39"/>
    <mergeCell ref="B24:F24"/>
    <mergeCell ref="B10:F10"/>
    <mergeCell ref="A1:F1"/>
    <mergeCell ref="B33:F33"/>
    <mergeCell ref="A45:F45"/>
    <mergeCell ref="B19:F19"/>
    <mergeCell ref="B29:E29"/>
    <mergeCell ref="B3:E3"/>
    <mergeCell ref="B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2026-05-19T01:54:15Z</dcterms:created>
  <dcterms:modified xsi:type="dcterms:W3CDTF">2026-05-19T01:54:15Z</dcterms:modified>
</cp:coreProperties>
</file>