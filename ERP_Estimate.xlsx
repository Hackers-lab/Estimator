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Iron Brea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sz val="12"/>
    </font>
    <font>
      <b val="1"/>
      <color rgb="00FF0000"/>
      <sz val="12"/>
    </font>
    <font>
      <name val="Segoe UI"/>
      <b val="1"/>
      <sz val="13"/>
    </font>
    <font>
      <name val="Segoe UI"/>
      <b val="1"/>
      <color rgb="00FFFFFF"/>
      <sz val="13"/>
    </font>
    <font>
      <name val="Segoe UI"/>
      <b val="1"/>
      <color rgb="00FFFFFF"/>
      <sz val="11"/>
    </font>
    <font>
      <name val="Segoe UI"/>
      <b val="1"/>
      <color rgb="00000000"/>
      <sz val="11"/>
    </font>
    <font>
      <name val="Segoe UI"/>
      <b val="1"/>
      <color rgb="00000000"/>
      <sz val="12"/>
    </font>
  </fonts>
  <fills count="9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6" borderId="1" pivotButton="0" quotePrefix="0" xfId="0"/>
    <xf numFmtId="0" fontId="8" fillId="6" borderId="1" applyAlignment="1" pivotButton="0" quotePrefix="0" xfId="0">
      <alignment horizontal="center" vertical="center"/>
    </xf>
    <xf numFmtId="0" fontId="8" fillId="7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5" customWidth="1" min="2" max="2"/>
    <col width="45" customWidth="1" min="3" max="3"/>
  </cols>
  <sheetData>
    <row r="1">
      <c r="A1" s="1" t="inlineStr">
        <is>
          <t>AUTOMATED ERP ESTIMATE</t>
        </is>
      </c>
    </row>
    <row r="2">
      <c r="A2" t="inlineStr">
        <is>
          <t>Subject:   |  Type: NSC  |  Date: 18-05-2026</t>
        </is>
      </c>
    </row>
    <row r="3">
      <c r="A3" t="inlineStr">
        <is>
          <t>Lat:    Long:    |   Materials: Raw Steel</t>
        </is>
      </c>
    </row>
    <row r="4">
      <c r="A4" s="2" t="inlineStr">
        <is>
          <t>Sl No.</t>
        </is>
      </c>
      <c r="B4" s="2" t="inlineStr">
        <is>
          <t>Code</t>
        </is>
      </c>
      <c r="C4" s="2" t="inlineStr">
        <is>
          <t>Description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</t>
        </is>
      </c>
      <c r="G4" s="2" t="inlineStr">
        <is>
          <t>Amount</t>
        </is>
      </c>
    </row>
    <row r="5">
      <c r="C5" s="2" t="inlineStr">
        <is>
          <t>A. MATERIALS</t>
        </is>
      </c>
    </row>
    <row r="6">
      <c r="A6" t="n">
        <v>1</v>
      </c>
      <c r="B6" t="inlineStr">
        <is>
          <t>0110030241</t>
        </is>
      </c>
      <c r="C6" t="inlineStr">
        <is>
          <t>P C C POLE:9 Mtrs.Long</t>
        </is>
      </c>
      <c r="D6" s="3" t="n">
        <v>6</v>
      </c>
      <c r="E6" t="inlineStr">
        <is>
          <t>NOS</t>
        </is>
      </c>
      <c r="F6" s="4" t="n">
        <v>10198.28</v>
      </c>
      <c r="G6" s="4">
        <f>ROUND(D6*F6, 2)</f>
        <v/>
      </c>
    </row>
    <row r="7">
      <c r="A7" t="n">
        <v>2</v>
      </c>
      <c r="B7" t="inlineStr">
        <is>
          <t>0910010241</t>
        </is>
      </c>
      <c r="C7" t="inlineStr">
        <is>
          <t>Caution Board 11KV</t>
        </is>
      </c>
      <c r="D7" s="3" t="n">
        <v>4</v>
      </c>
      <c r="E7" t="inlineStr">
        <is>
          <t>NOS</t>
        </is>
      </c>
      <c r="F7" s="4" t="n">
        <v>143.95</v>
      </c>
      <c r="G7" s="4">
        <f>ROUND(D7*F7, 2)</f>
        <v/>
      </c>
    </row>
    <row r="8">
      <c r="A8" t="n">
        <v>3</v>
      </c>
      <c r="B8" t="inlineStr">
        <is>
          <t>0504110541</t>
        </is>
      </c>
      <c r="C8" t="inlineStr">
        <is>
          <t>G.I. Earth Spike 1833X20MM</t>
        </is>
      </c>
      <c r="D8" s="3" t="n">
        <v>9</v>
      </c>
      <c r="E8" t="inlineStr">
        <is>
          <t>NOS</t>
        </is>
      </c>
      <c r="F8" s="4" t="n">
        <v>367.98</v>
      </c>
      <c r="G8" s="4">
        <f>ROUND(D8*F8, 2)</f>
        <v/>
      </c>
    </row>
    <row r="9">
      <c r="A9" t="n">
        <v>4</v>
      </c>
      <c r="B9" t="inlineStr">
        <is>
          <t>0503010811</t>
        </is>
      </c>
      <c r="C9" t="inlineStr">
        <is>
          <t>G.I. Wire 5 MM (6 SWG)</t>
        </is>
      </c>
      <c r="D9" s="3" t="n">
        <v>0.057</v>
      </c>
      <c r="E9" t="inlineStr">
        <is>
          <t>MT</t>
        </is>
      </c>
      <c r="F9" s="4" t="n">
        <v>136865.98</v>
      </c>
      <c r="G9" s="4">
        <f>ROUND(D9*F9, 2)</f>
        <v/>
      </c>
    </row>
    <row r="10">
      <c r="A10" t="n">
        <v>5</v>
      </c>
      <c r="B10" t="inlineStr">
        <is>
          <t>0101011311</t>
        </is>
      </c>
      <c r="C10" t="inlineStr">
        <is>
          <t>M.S Angle 65X65X6mm</t>
        </is>
      </c>
      <c r="D10" s="3" t="n">
        <v>0.022</v>
      </c>
      <c r="E10" t="inlineStr">
        <is>
          <t>MT</t>
        </is>
      </c>
      <c r="F10" s="4" t="n">
        <v>108667.24</v>
      </c>
      <c r="G10" s="4">
        <f>ROUND(D10*F10, 2)</f>
        <v/>
      </c>
    </row>
    <row r="11">
      <c r="A11" t="n">
        <v>6</v>
      </c>
      <c r="B11" t="inlineStr">
        <is>
          <t>0103011511</t>
        </is>
      </c>
      <c r="C11" t="inlineStr">
        <is>
          <t>M.S Flat 65X6 mm</t>
        </is>
      </c>
      <c r="D11" s="3" t="n">
        <v>0.053</v>
      </c>
      <c r="E11" t="inlineStr">
        <is>
          <t>MT</t>
        </is>
      </c>
      <c r="F11" s="4" t="n">
        <v>117493.74</v>
      </c>
      <c r="G11" s="4">
        <f>ROUND(D11*F11, 2)</f>
        <v/>
      </c>
    </row>
    <row r="12">
      <c r="A12" t="n">
        <v>7</v>
      </c>
      <c r="B12" t="inlineStr">
        <is>
          <t>0508011141</t>
        </is>
      </c>
      <c r="C12" t="inlineStr">
        <is>
          <t>11 KV Polymer Composite Pin Insulator 5KN 320MM CD</t>
        </is>
      </c>
      <c r="D12" s="3" t="n">
        <v>15</v>
      </c>
      <c r="E12" t="inlineStr">
        <is>
          <t>NOS</t>
        </is>
      </c>
      <c r="F12" s="4" t="n">
        <v>243.79</v>
      </c>
      <c r="G12" s="4">
        <f>ROUND(D12*F12, 2)</f>
        <v/>
      </c>
    </row>
    <row r="13">
      <c r="A13" t="n">
        <v>8</v>
      </c>
      <c r="B13" t="inlineStr">
        <is>
          <t>0504130432</t>
        </is>
      </c>
      <c r="C13" t="inlineStr">
        <is>
          <t>G.I. Stay Set HT (1830X20MM) WRKG LD-7900KG</t>
        </is>
      </c>
      <c r="D13" s="3" t="n">
        <v>9</v>
      </c>
      <c r="E13" t="inlineStr">
        <is>
          <t>SET</t>
        </is>
      </c>
      <c r="F13" s="4" t="n">
        <v>795.83</v>
      </c>
      <c r="G13" s="4">
        <f>ROUND(D13*F13, 2)</f>
        <v/>
      </c>
    </row>
    <row r="14">
      <c r="A14" t="n">
        <v>9</v>
      </c>
      <c r="B14" t="inlineStr">
        <is>
          <t>0503050711</t>
        </is>
      </c>
      <c r="C14" t="inlineStr">
        <is>
          <t>G.I. Stay Wire 7/3.15MM (10 SWG)</t>
        </is>
      </c>
      <c r="D14" s="3" t="n">
        <v>0.056</v>
      </c>
      <c r="E14" t="inlineStr">
        <is>
          <t>MT</t>
        </is>
      </c>
      <c r="F14" s="4" t="n">
        <v>142310.93</v>
      </c>
      <c r="G14" s="4">
        <f>ROUND(D14*F14, 2)</f>
        <v/>
      </c>
    </row>
    <row r="15">
      <c r="A15" t="n">
        <v>10</v>
      </c>
      <c r="B15" t="inlineStr">
        <is>
          <t>0508040841</t>
        </is>
      </c>
      <c r="C15" t="inlineStr">
        <is>
          <t>Porcelain Guy Insulator HT</t>
        </is>
      </c>
      <c r="D15" s="3" t="n">
        <v>9</v>
      </c>
      <c r="E15" t="inlineStr">
        <is>
          <t>NOS</t>
        </is>
      </c>
      <c r="F15" s="4" t="n">
        <v>52.24</v>
      </c>
      <c r="G15" s="4">
        <f>ROUND(D15*F15, 2)</f>
        <v/>
      </c>
    </row>
    <row r="16">
      <c r="A16" t="n">
        <v>11</v>
      </c>
      <c r="B16" t="inlineStr">
        <is>
          <t>0508030541</t>
        </is>
      </c>
      <c r="C16" t="inlineStr">
        <is>
          <t>11 KV Polymer Composite Disc Insulator 45KN</t>
        </is>
      </c>
      <c r="D16" s="3" t="n">
        <v>12</v>
      </c>
      <c r="E16" t="inlineStr">
        <is>
          <t>NOS</t>
        </is>
      </c>
      <c r="F16" s="4" t="n">
        <v>183.15</v>
      </c>
      <c r="G16" s="4">
        <f>ROUND(D16*F16, 2)</f>
        <v/>
      </c>
    </row>
    <row r="17">
      <c r="A17" t="n">
        <v>12</v>
      </c>
      <c r="B17" t="inlineStr">
        <is>
          <t>0504010132</t>
        </is>
      </c>
      <c r="C17" t="inlineStr">
        <is>
          <t>Composite Hardware Fittings for ACSR Weasel/Rabbit (30/50SQMM)</t>
        </is>
      </c>
      <c r="D17" s="3" t="n">
        <v>12.36</v>
      </c>
      <c r="E17" t="inlineStr">
        <is>
          <t>SET</t>
        </is>
      </c>
      <c r="F17" s="4" t="n">
        <v>327.83</v>
      </c>
      <c r="G17" s="4">
        <f>ROUND(D17*F17, 2)</f>
        <v/>
      </c>
    </row>
    <row r="18">
      <c r="A18" t="n">
        <v>13</v>
      </c>
      <c r="B18" t="inlineStr">
        <is>
          <t>0102010611</t>
        </is>
      </c>
      <c r="C18" t="inlineStr">
        <is>
          <t>M.S Channel 75X40 mm</t>
        </is>
      </c>
      <c r="D18" s="3" t="n">
        <v>0.099</v>
      </c>
      <c r="E18" t="inlineStr">
        <is>
          <t>MT</t>
        </is>
      </c>
      <c r="F18" s="4" t="n">
        <v>110043.09</v>
      </c>
      <c r="G18" s="4">
        <f>ROUND(D18*F18, 2)</f>
        <v/>
      </c>
    </row>
    <row r="19">
      <c r="A19" t="n">
        <v>14</v>
      </c>
      <c r="B19" t="inlineStr">
        <is>
          <t>0502010921</t>
        </is>
      </c>
      <c r="C19" t="inlineStr">
        <is>
          <t>ACSR Conductor 50SQMM (Rabbit)</t>
        </is>
      </c>
      <c r="D19" s="3" t="n">
        <v>0.402</v>
      </c>
      <c r="E19" t="inlineStr">
        <is>
          <t>KM</t>
        </is>
      </c>
      <c r="F19" s="4" t="n">
        <v>62290.12</v>
      </c>
      <c r="G19" s="4">
        <f>ROUND(D19*F19, 2)</f>
        <v/>
      </c>
    </row>
    <row r="20">
      <c r="A20" t="n">
        <v>15</v>
      </c>
      <c r="B20" t="inlineStr">
        <is>
          <t>0309010841</t>
        </is>
      </c>
      <c r="C20" t="inlineStr">
        <is>
          <t>Lightning Arrestor 12KV 5KA Porcelain Gapless Type 11KV</t>
        </is>
      </c>
      <c r="D20" s="3" t="n">
        <v>3</v>
      </c>
      <c r="E20" t="inlineStr">
        <is>
          <t>NOS</t>
        </is>
      </c>
      <c r="F20" s="4" t="n">
        <v>524.23</v>
      </c>
      <c r="G20" s="4">
        <f>ROUND(D20*F20, 2)</f>
        <v/>
      </c>
    </row>
    <row r="21">
      <c r="A21" t="n">
        <v>16</v>
      </c>
      <c r="B21" t="inlineStr">
        <is>
          <t>0304010532</t>
        </is>
      </c>
      <c r="C21" t="inlineStr">
        <is>
          <t>T.P.G.O. Isolator 11KV 200 AMP</t>
        </is>
      </c>
      <c r="D21" s="3" t="n">
        <v>1</v>
      </c>
      <c r="E21" t="inlineStr">
        <is>
          <t>SET</t>
        </is>
      </c>
      <c r="F21" s="4" t="n">
        <v>10384.98</v>
      </c>
      <c r="G21" s="4">
        <f>ROUND(D21*F21, 2)</f>
        <v/>
      </c>
    </row>
    <row r="22">
      <c r="A22" t="n">
        <v>17</v>
      </c>
      <c r="B22" t="inlineStr">
        <is>
          <t>0912011441</t>
        </is>
      </c>
      <c r="C22" t="inlineStr">
        <is>
          <t>G.I. Turn Buckle 18x5/8"</t>
        </is>
      </c>
      <c r="D22" s="3" t="n">
        <v>2</v>
      </c>
      <c r="E22" t="inlineStr">
        <is>
          <t>NOS</t>
        </is>
      </c>
      <c r="F22" s="4" t="n">
        <v>182.36</v>
      </c>
      <c r="G22" s="4">
        <f>ROUND(D22*F22, 2)</f>
        <v/>
      </c>
    </row>
    <row r="23">
      <c r="A23" t="n">
        <v>18</v>
      </c>
      <c r="B23" t="inlineStr">
        <is>
          <t>0501017821</t>
        </is>
      </c>
      <c r="C23" t="inlineStr">
        <is>
          <t>CABLE (PVC 1.1KV GRADE) 4CX25SQMM</t>
        </is>
      </c>
      <c r="D23" s="3" t="n">
        <v>0.01</v>
      </c>
      <c r="E23" t="inlineStr">
        <is>
          <t>KM</t>
        </is>
      </c>
      <c r="F23" s="4" t="n">
        <v>229429.95</v>
      </c>
      <c r="G23" s="4">
        <f>ROUND(D23*F23, 2)</f>
        <v/>
      </c>
    </row>
    <row r="24">
      <c r="A24" t="n">
        <v>19</v>
      </c>
      <c r="B24" t="inlineStr">
        <is>
          <t>0102010911</t>
        </is>
      </c>
      <c r="C24" t="inlineStr">
        <is>
          <t>M.S Channel 100X50 mm</t>
        </is>
      </c>
      <c r="D24" s="3" t="n">
        <v>0.049</v>
      </c>
      <c r="E24" t="inlineStr">
        <is>
          <t>MT</t>
        </is>
      </c>
      <c r="F24" s="4" t="n">
        <v>109813.95</v>
      </c>
      <c r="G24" s="4">
        <f>ROUND(D24*F24, 2)</f>
        <v/>
      </c>
    </row>
    <row r="25">
      <c r="A25" t="n">
        <v>20</v>
      </c>
      <c r="B25" t="inlineStr">
        <is>
          <t>0503010711</t>
        </is>
      </c>
      <c r="C25" t="inlineStr">
        <is>
          <t>G.I. Wire 4 MM (8 SWG)</t>
        </is>
      </c>
      <c r="D25" s="3" t="n">
        <v>0.012</v>
      </c>
      <c r="E25" t="inlineStr">
        <is>
          <t>MT</t>
        </is>
      </c>
      <c r="F25" s="4" t="n">
        <v>137360.98</v>
      </c>
      <c r="G25" s="4">
        <f>ROUND(D25*F25, 2)</f>
        <v/>
      </c>
    </row>
    <row r="26">
      <c r="A26" t="inlineStr"/>
      <c r="B26" t="inlineStr"/>
      <c r="C26" t="inlineStr">
        <is>
          <t>Material Base Total</t>
        </is>
      </c>
      <c r="D26" t="inlineStr"/>
      <c r="E26" t="inlineStr"/>
      <c r="F26" t="inlineStr"/>
      <c r="G26" s="4">
        <f>ROUND(SUM(G6:G25), 2)</f>
        <v/>
      </c>
    </row>
    <row r="27">
      <c r="A27" t="inlineStr"/>
      <c r="B27" t="inlineStr"/>
      <c r="C27" t="inlineStr">
        <is>
          <t>Add: Escalation @ 5% for FY 24-25</t>
        </is>
      </c>
      <c r="D27" t="inlineStr"/>
      <c r="E27" t="inlineStr"/>
      <c r="F27" t="inlineStr"/>
      <c r="G27" s="4">
        <f>ROUND((G26)*0.05, 2)</f>
        <v/>
      </c>
    </row>
    <row r="28">
      <c r="A28" t="inlineStr"/>
      <c r="B28" t="inlineStr"/>
      <c r="C28" t="inlineStr">
        <is>
          <t>Add: Escalation @ 5% for FY 25-26</t>
        </is>
      </c>
      <c r="D28" t="inlineStr"/>
      <c r="E28" t="inlineStr"/>
      <c r="F28" t="inlineStr"/>
      <c r="G28" s="4">
        <f>ROUND((G26+G27)*0.05, 2)</f>
        <v/>
      </c>
    </row>
    <row r="29">
      <c r="A29" t="inlineStr"/>
      <c r="B29" t="inlineStr"/>
      <c r="C29" t="inlineStr">
        <is>
          <t>Add: Escalation @ 5% for FY 26-27</t>
        </is>
      </c>
      <c r="D29" t="inlineStr"/>
      <c r="E29" t="inlineStr"/>
      <c r="F29" t="inlineStr"/>
      <c r="G29" s="4">
        <f>ROUND((G26+G27+G28)*0.05, 2)</f>
        <v/>
      </c>
    </row>
    <row r="30">
      <c r="A30" t="inlineStr"/>
      <c r="B30" t="inlineStr"/>
      <c r="C30" t="inlineStr">
        <is>
          <t>Add: Sundries @ 5%</t>
        </is>
      </c>
      <c r="D30" t="inlineStr"/>
      <c r="E30" t="inlineStr"/>
      <c r="F30" t="inlineStr"/>
      <c r="G30" s="4">
        <f>ROUND((G26+G27+G28+G29)*0.05, 2)</f>
        <v/>
      </c>
    </row>
    <row r="31">
      <c r="A31" t="inlineStr"/>
      <c r="B31" t="inlineStr"/>
      <c r="C31" s="2" t="inlineStr">
        <is>
          <t>TOTAL MATERIAL COST (A)</t>
        </is>
      </c>
      <c r="D31" t="inlineStr"/>
      <c r="E31" t="inlineStr"/>
      <c r="F31" t="inlineStr"/>
      <c r="G31" s="5">
        <f>ROUND(G26+G27+G28+G29+G30, 2)</f>
        <v/>
      </c>
    </row>
    <row r="33">
      <c r="C33" s="2" t="inlineStr">
        <is>
          <t>B. ERECTION / LABOR</t>
        </is>
      </c>
    </row>
    <row r="34">
      <c r="A34" t="n">
        <v>1</v>
      </c>
      <c r="B34" t="inlineStr"/>
      <c r="C34" t="inlineStr">
        <is>
          <t>Erection of 9MTR PCC Pole (HT) Without Painted</t>
        </is>
      </c>
      <c r="D34" s="3" t="n">
        <v>2</v>
      </c>
      <c r="E34" t="inlineStr">
        <is>
          <t>NOS</t>
        </is>
      </c>
      <c r="F34" s="4" t="n">
        <v>2620</v>
      </c>
      <c r="G34" s="4">
        <f>ROUND(D34*F34, 2)</f>
        <v/>
      </c>
    </row>
    <row r="35">
      <c r="A35" t="n">
        <v>2</v>
      </c>
      <c r="B35" t="inlineStr"/>
      <c r="C35" t="inlineStr">
        <is>
          <t>Pole GIS Survey</t>
        </is>
      </c>
      <c r="D35" s="3" t="n">
        <v>4</v>
      </c>
      <c r="E35" t="inlineStr">
        <is>
          <t>NOS</t>
        </is>
      </c>
      <c r="F35" s="4" t="n">
        <v>31</v>
      </c>
      <c r="G35" s="4">
        <f>ROUND(D35*F35, 2)</f>
        <v/>
      </c>
    </row>
    <row r="36">
      <c r="A36" t="n">
        <v>3</v>
      </c>
      <c r="B36" t="inlineStr"/>
      <c r="C36" t="inlineStr">
        <is>
          <t>Fixing of Caution Board</t>
        </is>
      </c>
      <c r="D36" s="3" t="n">
        <v>4</v>
      </c>
      <c r="E36" t="inlineStr">
        <is>
          <t>NOS</t>
        </is>
      </c>
      <c r="F36" s="4" t="n">
        <v>24</v>
      </c>
      <c r="G36" s="4">
        <f>ROUND(D36*F36, 2)</f>
        <v/>
      </c>
    </row>
    <row r="37">
      <c r="A37" t="n">
        <v>4</v>
      </c>
      <c r="B37" t="inlineStr"/>
      <c r="C37" t="inlineStr">
        <is>
          <t>Earthing Complete</t>
        </is>
      </c>
      <c r="D37" s="3" t="n">
        <v>9</v>
      </c>
      <c r="E37" t="inlineStr">
        <is>
          <t>NOS</t>
        </is>
      </c>
      <c r="F37" s="4" t="n">
        <v>313</v>
      </c>
      <c r="G37" s="4">
        <f>ROUND(D37*F37, 2)</f>
        <v/>
      </c>
    </row>
    <row r="38">
      <c r="A38" t="n">
        <v>5</v>
      </c>
      <c r="B38" t="inlineStr"/>
      <c r="C38" t="inlineStr">
        <is>
          <t>Fabrication &amp; Fixing of CG Bracket Single Pole</t>
        </is>
      </c>
      <c r="D38" s="3" t="n">
        <v>2</v>
      </c>
      <c r="E38" t="inlineStr">
        <is>
          <t>NOS</t>
        </is>
      </c>
      <c r="F38" s="4" t="n">
        <v>237</v>
      </c>
      <c r="G38" s="4">
        <f>ROUND(D38*F38, 2)</f>
        <v/>
      </c>
    </row>
    <row r="39">
      <c r="A39" t="n">
        <v>6</v>
      </c>
      <c r="B39" t="inlineStr"/>
      <c r="C39" t="inlineStr">
        <is>
          <t>Fixing of 11KV Pin Insulator</t>
        </is>
      </c>
      <c r="D39" s="3" t="n">
        <v>15</v>
      </c>
      <c r="E39" t="inlineStr">
        <is>
          <t>NOS</t>
        </is>
      </c>
      <c r="F39" s="4" t="n">
        <v>63</v>
      </c>
      <c r="G39" s="4">
        <f>ROUND(D39*F39, 2)</f>
        <v/>
      </c>
    </row>
    <row r="40">
      <c r="A40" t="n">
        <v>7</v>
      </c>
      <c r="B40" t="inlineStr"/>
      <c r="C40" t="inlineStr">
        <is>
          <t>H.T. Stay Set Complete Labour</t>
        </is>
      </c>
      <c r="D40" s="3" t="n">
        <v>9</v>
      </c>
      <c r="E40" t="inlineStr">
        <is>
          <t>SET</t>
        </is>
      </c>
      <c r="F40" s="4" t="n">
        <v>641</v>
      </c>
      <c r="G40" s="4">
        <f>ROUND(D40*F40, 2)</f>
        <v/>
      </c>
    </row>
    <row r="41">
      <c r="A41" t="n">
        <v>8</v>
      </c>
      <c r="B41" t="inlineStr"/>
      <c r="C41" t="inlineStr">
        <is>
          <t>Fixing of 11KV Disc Insulator with Strain Hardware</t>
        </is>
      </c>
      <c r="D41" s="3" t="n">
        <v>12</v>
      </c>
      <c r="E41" t="inlineStr">
        <is>
          <t>NOS</t>
        </is>
      </c>
      <c r="F41" s="4" t="n">
        <v>65</v>
      </c>
      <c r="G41" s="4">
        <f>ROUND(D41*F41, 2)</f>
        <v/>
      </c>
    </row>
    <row r="42">
      <c r="A42" t="n">
        <v>9</v>
      </c>
      <c r="B42" t="inlineStr"/>
      <c r="C42" t="inlineStr">
        <is>
          <t>Erection of DP Structure 9MTR PCC Pole HT</t>
        </is>
      </c>
      <c r="D42" s="3" t="n">
        <v>1</v>
      </c>
      <c r="E42" t="inlineStr">
        <is>
          <t>NOS</t>
        </is>
      </c>
      <c r="F42" s="4" t="n">
        <v>9438</v>
      </c>
      <c r="G42" s="4">
        <f>ROUND(D42*F42, 2)</f>
        <v/>
      </c>
    </row>
    <row r="43">
      <c r="A43" t="n">
        <v>10</v>
      </c>
      <c r="B43" t="inlineStr"/>
      <c r="C43" t="inlineStr">
        <is>
          <t>Erection of S/S DP Structure 9MTR PCC Pole Without Painted</t>
        </is>
      </c>
      <c r="D43" s="3" t="n">
        <v>1</v>
      </c>
      <c r="E43" t="inlineStr">
        <is>
          <t>NOS</t>
        </is>
      </c>
      <c r="F43" s="4" t="n">
        <v>13169</v>
      </c>
      <c r="G43" s="4">
        <f>ROUND(D43*F43, 2)</f>
        <v/>
      </c>
    </row>
    <row r="44">
      <c r="A44" t="n">
        <v>11</v>
      </c>
      <c r="B44" t="inlineStr"/>
      <c r="C44" t="inlineStr">
        <is>
          <t>Fixing of 11KV Lightning Arrestor on Structure</t>
        </is>
      </c>
      <c r="D44" s="3" t="n">
        <v>1</v>
      </c>
      <c r="E44" t="inlineStr">
        <is>
          <t>SET</t>
        </is>
      </c>
      <c r="F44" s="4" t="n">
        <v>339</v>
      </c>
      <c r="G44" s="4">
        <f>ROUND(D44*F44, 2)</f>
        <v/>
      </c>
    </row>
    <row r="45">
      <c r="A45" t="n">
        <v>12</v>
      </c>
      <c r="B45" t="inlineStr"/>
      <c r="C45" t="inlineStr">
        <is>
          <t>Fixing of 11KV TPGO Isolator on S/Stn Structure</t>
        </is>
      </c>
      <c r="D45" s="3" t="n">
        <v>1</v>
      </c>
      <c r="E45" t="inlineStr">
        <is>
          <t>SET</t>
        </is>
      </c>
      <c r="F45" s="4" t="n">
        <v>1193</v>
      </c>
      <c r="G45" s="4">
        <f>ROUND(D45*F45, 2)</f>
        <v/>
      </c>
    </row>
    <row r="46">
      <c r="A46" t="n">
        <v>13</v>
      </c>
      <c r="B46" t="inlineStr"/>
      <c r="C46" t="inlineStr">
        <is>
          <t>Fixing of Neutral Earthing of DTR with G</t>
        </is>
      </c>
      <c r="D46" s="3" t="n">
        <v>1</v>
      </c>
      <c r="E46" t="inlineStr">
        <is>
          <t>NOS</t>
        </is>
      </c>
      <c r="F46" s="4" t="n">
        <v>3816</v>
      </c>
      <c r="G46" s="4">
        <f>ROUND(D46*F46, 2)</f>
        <v/>
      </c>
    </row>
    <row r="47">
      <c r="A47" t="n">
        <v>14</v>
      </c>
      <c r="B47" t="inlineStr"/>
      <c r="C47" t="inlineStr">
        <is>
          <t>Fixing Cross Lacing Wire</t>
        </is>
      </c>
      <c r="D47" s="3" t="n">
        <v>60</v>
      </c>
      <c r="E47" t="inlineStr">
        <is>
          <t>NOS</t>
        </is>
      </c>
      <c r="F47" s="4" t="n">
        <v>15</v>
      </c>
      <c r="G47" s="4">
        <f>ROUND(D47*F47, 2)</f>
        <v/>
      </c>
    </row>
    <row r="48">
      <c r="A48" t="n">
        <v>15</v>
      </c>
      <c r="B48" t="inlineStr"/>
      <c r="C48" t="inlineStr">
        <is>
          <t>Stringing &amp; Sagging ACSR 50SQMM 3 Wire</t>
        </is>
      </c>
      <c r="D48" s="3" t="n">
        <v>0.12</v>
      </c>
      <c r="E48" t="inlineStr">
        <is>
          <t>KM</t>
        </is>
      </c>
      <c r="F48" s="4" t="n">
        <v>8289</v>
      </c>
      <c r="G48" s="4">
        <f>ROUND(D48*F48, 2)</f>
        <v/>
      </c>
    </row>
    <row r="49">
      <c r="A49" t="n">
        <v>16</v>
      </c>
      <c r="B49" t="inlineStr"/>
      <c r="C49" t="inlineStr">
        <is>
          <t>Survey for H.T.O.H Line</t>
        </is>
      </c>
      <c r="D49" s="3" t="n">
        <v>0.12</v>
      </c>
      <c r="E49" t="inlineStr">
        <is>
          <t>KM</t>
        </is>
      </c>
      <c r="F49" s="4" t="n">
        <v>2761</v>
      </c>
      <c r="G49" s="4">
        <f>ROUND(D49*F49, 2)</f>
        <v/>
      </c>
    </row>
    <row r="50">
      <c r="A50" t="inlineStr"/>
      <c r="B50" t="inlineStr"/>
      <c r="C50" s="2" t="inlineStr">
        <is>
          <t>TOTAL LABOR COST (B)</t>
        </is>
      </c>
      <c r="D50" t="inlineStr"/>
      <c r="E50" t="inlineStr"/>
      <c r="F50" t="inlineStr"/>
      <c r="G50" s="5">
        <f>ROUND(SUM(G34:G49), 2)</f>
        <v/>
      </c>
    </row>
    <row r="52">
      <c r="C52" s="2" t="inlineStr">
        <is>
          <t>C. OVERHEADS &amp; TAXES</t>
        </is>
      </c>
    </row>
    <row r="53">
      <c r="A53" t="inlineStr"/>
      <c r="B53" t="inlineStr"/>
      <c r="C53" t="inlineStr">
        <is>
          <t>Supervision @ 10% on (A+B)</t>
        </is>
      </c>
      <c r="D53" t="inlineStr"/>
      <c r="E53" t="inlineStr"/>
      <c r="F53" t="inlineStr"/>
      <c r="G53" s="4">
        <f>ROUND((G31+G50)*0.1, 2)</f>
        <v/>
      </c>
    </row>
    <row r="54">
      <c r="A54" t="inlineStr"/>
      <c r="B54" t="inlineStr"/>
      <c r="C54" t="inlineStr">
        <is>
          <t>GST @ 18% on Labour only</t>
        </is>
      </c>
      <c r="D54" t="inlineStr"/>
      <c r="E54" t="inlineStr"/>
      <c r="F54" t="inlineStr"/>
      <c r="G54" s="4">
        <f>ROUND(G50*0.18, 2)</f>
        <v/>
      </c>
    </row>
    <row r="55">
      <c r="A55" t="inlineStr"/>
      <c r="B55" t="inlineStr"/>
      <c r="C55" t="inlineStr">
        <is>
          <t>Sub-Total</t>
        </is>
      </c>
      <c r="D55" t="inlineStr"/>
      <c r="E55" t="inlineStr"/>
      <c r="F55" t="inlineStr"/>
      <c r="G55" s="4">
        <f>ROUND(G31+G50+G53+G54, 2)</f>
        <v/>
      </c>
    </row>
    <row r="56">
      <c r="A56" t="inlineStr"/>
      <c r="B56" t="inlineStr"/>
      <c r="C56" t="inlineStr">
        <is>
          <t>Add: Cess @ 1% on (Mat+Lab+Sup)</t>
        </is>
      </c>
      <c r="D56" t="inlineStr"/>
      <c r="E56" t="inlineStr"/>
      <c r="F56" t="inlineStr"/>
      <c r="G56" s="4">
        <f>ROUND((G31+G50+G53)*0.01, 2)</f>
        <v/>
      </c>
    </row>
    <row r="57">
      <c r="A57" t="inlineStr"/>
      <c r="B57" t="inlineStr"/>
      <c r="C57" s="6" t="inlineStr">
        <is>
          <t>GRAND TOTAL</t>
        </is>
      </c>
      <c r="D57" t="inlineStr"/>
      <c r="E57" t="inlineStr"/>
      <c r="F57" t="inlineStr"/>
      <c r="G57" s="7">
        <f>ROUND(G55+G56, 2)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4" customWidth="1" min="4" max="4"/>
    <col width="12" customWidth="1" min="5" max="5"/>
    <col width="12" customWidth="1" min="6" max="6"/>
    <col width="5" customWidth="1" min="7" max="7"/>
  </cols>
  <sheetData>
    <row r="1" ht="28" customHeight="1">
      <c r="A1" s="8" t="inlineStr">
        <is>
          <t>IRON CALCULATION BREAKUP</t>
        </is>
      </c>
    </row>
    <row r="3" ht="24" customHeight="1">
      <c r="A3" s="9" t="inlineStr">
        <is>
          <t>A</t>
        </is>
      </c>
      <c r="B3" s="10" t="inlineStr">
        <is>
          <t>DTR Substation Iron (1 nos on canvas)</t>
        </is>
      </c>
      <c r="C3" s="9" t="inlineStr">
        <is>
          <t>No</t>
        </is>
      </c>
      <c r="D3" s="9" t="inlineStr">
        <is>
          <t>Length (m)</t>
        </is>
      </c>
      <c r="E3" s="9" t="inlineStr">
        <is>
          <t>Total (m)</t>
        </is>
      </c>
      <c r="F3" s="9" t="inlineStr">
        <is>
          <t>Wt (kg)</t>
        </is>
      </c>
      <c r="G3" s="10" t="inlineStr"/>
    </row>
    <row r="4" ht="20" customHeight="1">
      <c r="A4" s="11" t="n">
        <v>1</v>
      </c>
      <c r="B4" s="12" t="inlineStr">
        <is>
          <t>M.S Channel 75X40 mm</t>
        </is>
      </c>
      <c r="C4" s="11" t="n">
        <v>1</v>
      </c>
      <c r="D4" s="11">
        <f>2.375</f>
        <v/>
      </c>
      <c r="E4" s="11">
        <f>C4*D4</f>
        <v/>
      </c>
      <c r="F4" s="12" t="n">
        <v>64.59999999999999</v>
      </c>
      <c r="G4" s="12" t="n"/>
    </row>
    <row r="5" ht="20" customHeight="1">
      <c r="A5" s="13" t="n">
        <v>2</v>
      </c>
      <c r="B5" s="14" t="inlineStr">
        <is>
          <t>M.S Channel 100X50 mm</t>
        </is>
      </c>
      <c r="C5" s="13" t="n">
        <v>1</v>
      </c>
      <c r="D5" s="13">
        <f>2.5</f>
        <v/>
      </c>
      <c r="E5" s="13">
        <f>C5*D5</f>
        <v/>
      </c>
      <c r="F5" s="14" t="n">
        <v>49</v>
      </c>
      <c r="G5" s="14" t="n"/>
    </row>
    <row r="6" ht="20" customHeight="1">
      <c r="A6" s="15" t="n"/>
      <c r="B6" s="15" t="inlineStr">
        <is>
          <t>Channel subtotal</t>
        </is>
      </c>
      <c r="C6" s="15" t="n"/>
      <c r="D6" s="15" t="n"/>
      <c r="E6" s="16">
        <f>SUM(E4:E5)</f>
        <v/>
      </c>
      <c r="F6" s="15">
        <f>SUM(F4:F5)</f>
        <v/>
      </c>
      <c r="G6" s="15" t="n"/>
    </row>
    <row r="7" ht="20" customHeight="1">
      <c r="A7" s="11" t="n">
        <v>3</v>
      </c>
      <c r="B7" s="12" t="inlineStr">
        <is>
          <t>M.S Angle 65X65X6mm (Structure Support)</t>
        </is>
      </c>
      <c r="C7" s="11" t="n">
        <v>1</v>
      </c>
      <c r="D7" s="11">
        <f>1.75</f>
        <v/>
      </c>
      <c r="E7" s="11">
        <f>C7*D7</f>
        <v/>
      </c>
      <c r="F7" s="12" t="n">
        <v>71.05</v>
      </c>
      <c r="G7" s="12" t="n"/>
    </row>
    <row r="8" ht="20" customHeight="1">
      <c r="A8" s="13" t="n">
        <v>4</v>
      </c>
      <c r="B8" s="14" t="inlineStr">
        <is>
          <t>M.S Angle 65X65X6mm (Transformer Base Bracing)</t>
        </is>
      </c>
      <c r="C8" s="13" t="n">
        <v>1</v>
      </c>
      <c r="D8" s="13">
        <f>2.5</f>
        <v/>
      </c>
      <c r="E8" s="13">
        <f>C8*D8</f>
        <v/>
      </c>
      <c r="F8" s="14" t="n">
        <v>29</v>
      </c>
      <c r="G8" s="14" t="n"/>
    </row>
    <row r="9" ht="20" customHeight="1">
      <c r="A9" s="15" t="n"/>
      <c r="B9" s="15" t="inlineStr">
        <is>
          <t>Angle subtotal</t>
        </is>
      </c>
      <c r="C9" s="15" t="n"/>
      <c r="D9" s="15" t="n"/>
      <c r="E9" s="16">
        <f>SUM(E7:E8)</f>
        <v/>
      </c>
      <c r="F9" s="15">
        <f>SUM(F7:F8)</f>
        <v/>
      </c>
      <c r="G9" s="15" t="n"/>
    </row>
    <row r="10" ht="20" customHeight="1">
      <c r="A10" s="11" t="n">
        <v>5</v>
      </c>
      <c r="B10" s="12" t="inlineStr">
        <is>
          <t>M.S Flat 65X6 mm</t>
        </is>
      </c>
      <c r="C10" s="11" t="n">
        <v>1</v>
      </c>
      <c r="D10" s="11">
        <f>2.0</f>
        <v/>
      </c>
      <c r="E10" s="11">
        <f>C10*D10</f>
        <v/>
      </c>
      <c r="F10" s="12" t="n">
        <v>43.4</v>
      </c>
      <c r="G10" s="12" t="n"/>
    </row>
    <row r="11" ht="20" customHeight="1">
      <c r="A11" s="15" t="n"/>
      <c r="B11" s="15" t="inlineStr">
        <is>
          <t>Flat subtotal</t>
        </is>
      </c>
      <c r="C11" s="15" t="n"/>
      <c r="D11" s="15" t="n"/>
      <c r="E11" s="16">
        <f>SUM(E10:E10)</f>
        <v/>
      </c>
      <c r="F11" s="15">
        <f>SUM(F10:F10)</f>
        <v/>
      </c>
      <c r="G11" s="15" t="n"/>
    </row>
    <row r="13" ht="24" customHeight="1">
      <c r="A13" s="9" t="inlineStr">
        <is>
          <t>B</t>
        </is>
      </c>
      <c r="B13" s="10" t="inlineStr">
        <is>
          <t>DP Structure Iron (1 nos on canvas)</t>
        </is>
      </c>
      <c r="C13" s="9" t="inlineStr">
        <is>
          <t>No</t>
        </is>
      </c>
      <c r="D13" s="9" t="inlineStr">
        <is>
          <t>Length (m)</t>
        </is>
      </c>
      <c r="E13" s="9" t="inlineStr">
        <is>
          <t>Total (m)</t>
        </is>
      </c>
      <c r="F13" s="9" t="inlineStr">
        <is>
          <t>Wt (kg)</t>
        </is>
      </c>
      <c r="G13" s="10" t="inlineStr"/>
    </row>
    <row r="14" ht="20" customHeight="1">
      <c r="A14" s="11" t="n">
        <v>1</v>
      </c>
      <c r="B14" s="12" t="inlineStr">
        <is>
          <t>M.S Channel 75X40 mm</t>
        </is>
      </c>
      <c r="C14" s="11" t="n">
        <v>1</v>
      </c>
      <c r="D14" s="11">
        <f>2.5</f>
        <v/>
      </c>
      <c r="E14" s="11">
        <f>C14*D14</f>
        <v/>
      </c>
      <c r="F14" s="12" t="n">
        <v>34</v>
      </c>
      <c r="G14" s="12" t="n"/>
    </row>
    <row r="15" ht="20" customHeight="1">
      <c r="A15" s="15" t="n"/>
      <c r="B15" s="15" t="inlineStr">
        <is>
          <t>Channel subtotal</t>
        </is>
      </c>
      <c r="C15" s="15" t="n"/>
      <c r="D15" s="15" t="n"/>
      <c r="E15" s="16">
        <f>SUM(E14:E14)</f>
        <v/>
      </c>
      <c r="F15" s="15">
        <f>SUM(F14:F14)</f>
        <v/>
      </c>
      <c r="G15" s="15" t="n"/>
    </row>
    <row r="16" ht="20" customHeight="1">
      <c r="A16" s="13" t="n">
        <v>2</v>
      </c>
      <c r="B16" s="14" t="inlineStr">
        <is>
          <t>M.S Flat 65X6 mm</t>
        </is>
      </c>
      <c r="C16" s="13" t="n">
        <v>1</v>
      </c>
      <c r="D16" s="13">
        <f>1.0</f>
        <v/>
      </c>
      <c r="E16" s="13">
        <f>C16*D16</f>
        <v/>
      </c>
      <c r="F16" s="14" t="n">
        <v>6.2</v>
      </c>
      <c r="G16" s="14" t="n"/>
    </row>
    <row r="17" ht="20" customHeight="1">
      <c r="A17" s="15" t="n"/>
      <c r="B17" s="15" t="inlineStr">
        <is>
          <t>Flat subtotal</t>
        </is>
      </c>
      <c r="C17" s="15" t="n"/>
      <c r="D17" s="15" t="n"/>
      <c r="E17" s="16">
        <f>SUM(E16:E16)</f>
        <v/>
      </c>
      <c r="F17" s="15">
        <f>SUM(F16:F16)</f>
        <v/>
      </c>
      <c r="G17" s="15" t="n"/>
    </row>
    <row r="19" ht="24" customHeight="1">
      <c r="A19" s="9" t="inlineStr">
        <is>
          <t>C</t>
        </is>
      </c>
      <c r="B19" s="10" t="inlineStr">
        <is>
          <t>HT Pole Iron (2 nos on canvas)</t>
        </is>
      </c>
      <c r="C19" s="9" t="inlineStr">
        <is>
          <t>No</t>
        </is>
      </c>
      <c r="D19" s="9" t="inlineStr">
        <is>
          <t>Length (m)</t>
        </is>
      </c>
      <c r="E19" s="9" t="inlineStr">
        <is>
          <t>Total (m)</t>
        </is>
      </c>
      <c r="F19" s="9" t="inlineStr">
        <is>
          <t>Wt (kg)</t>
        </is>
      </c>
      <c r="G19" s="10" t="inlineStr"/>
    </row>
    <row r="20" ht="20" customHeight="1">
      <c r="A20" s="11" t="n">
        <v>1</v>
      </c>
      <c r="B20" s="12" t="inlineStr">
        <is>
          <t>HT Single Pole (Flat - 2 nos)</t>
        </is>
      </c>
      <c r="C20" s="11" t="n">
        <v>2</v>
      </c>
      <c r="D20" s="11">
        <f>1</f>
        <v/>
      </c>
      <c r="E20" s="11">
        <f>C20*D20</f>
        <v/>
      </c>
      <c r="F20" s="12" t="n">
        <v>6.2</v>
      </c>
      <c r="G20" s="12" t="n"/>
    </row>
    <row r="22" ht="22" customHeight="1">
      <c r="A22" s="17" t="n"/>
      <c r="B22" s="17" t="inlineStr">
        <is>
          <t>SECTION SUMMARY</t>
        </is>
      </c>
      <c r="C22" s="17" t="n"/>
      <c r="D22" s="17" t="n"/>
      <c r="E22" s="17" t="n"/>
      <c r="F22" s="17" t="n"/>
      <c r="G22" s="17" t="n"/>
    </row>
    <row r="23" ht="20" customHeight="1">
      <c r="A23" s="18" t="n"/>
      <c r="B23" s="18" t="inlineStr">
        <is>
          <t>M.S. Channel 100x50mm</t>
        </is>
      </c>
      <c r="C23" s="19" t="n">
        <v>5</v>
      </c>
      <c r="D23" s="19" t="inlineStr">
        <is>
          <t>m</t>
        </is>
      </c>
      <c r="E23" s="19" t="inlineStr">
        <is>
          <t>9.8 kg/m</t>
        </is>
      </c>
      <c r="F23" s="18" t="n">
        <v>49</v>
      </c>
      <c r="G23" s="18" t="n"/>
    </row>
    <row r="24" ht="20" customHeight="1">
      <c r="A24" s="18" t="n"/>
      <c r="B24" s="18" t="inlineStr">
        <is>
          <t>M.S. Channel 75x40mm</t>
        </is>
      </c>
      <c r="C24" s="19" t="n">
        <v>14.5</v>
      </c>
      <c r="D24" s="19" t="inlineStr">
        <is>
          <t>m</t>
        </is>
      </c>
      <c r="E24" s="19" t="inlineStr">
        <is>
          <t>6.8 kg/m</t>
        </is>
      </c>
      <c r="F24" s="18" t="n">
        <v>98.59999999999999</v>
      </c>
      <c r="G24" s="18" t="n"/>
    </row>
    <row r="25" ht="20" customHeight="1">
      <c r="A25" s="18" t="n"/>
      <c r="B25" s="18" t="inlineStr">
        <is>
          <t>M.S. Angle 65x65x6mm</t>
        </is>
      </c>
      <c r="C25" s="19" t="n">
        <v>17.25</v>
      </c>
      <c r="D25" s="19" t="inlineStr">
        <is>
          <t>m</t>
        </is>
      </c>
      <c r="E25" s="19" t="inlineStr">
        <is>
          <t>5.8 kg/m</t>
        </is>
      </c>
      <c r="F25" s="18" t="n">
        <v>100.05</v>
      </c>
      <c r="G25" s="18" t="n"/>
    </row>
    <row r="26" ht="20" customHeight="1">
      <c r="A26" s="18" t="n"/>
      <c r="B26" s="18" t="inlineStr">
        <is>
          <t>M.S. Flat 65x6mm</t>
        </is>
      </c>
      <c r="C26" s="19" t="n">
        <v>18</v>
      </c>
      <c r="D26" s="19" t="inlineStr">
        <is>
          <t>m</t>
        </is>
      </c>
      <c r="E26" s="19" t="inlineStr">
        <is>
          <t>3.1 kg/m</t>
        </is>
      </c>
      <c r="F26" s="18" t="n">
        <v>55.8</v>
      </c>
      <c r="G26" s="18" t="n"/>
    </row>
    <row r="28" ht="20" customHeight="1">
      <c r="A28" s="15" t="n"/>
      <c r="B28" s="15" t="inlineStr">
        <is>
          <t>Sub-total (all iron):</t>
        </is>
      </c>
      <c r="C28" s="15" t="n"/>
      <c r="D28" s="15" t="n"/>
      <c r="E28" s="15" t="n"/>
      <c r="F28" s="15">
        <f>SUM(F23:F26)</f>
        <v/>
      </c>
      <c r="G28" s="15" t="n"/>
    </row>
    <row r="29" ht="20" customHeight="1">
      <c r="A29" s="15" t="n"/>
      <c r="B29" s="15" t="inlineStr">
        <is>
          <t>Add: Wastage + Sag @ 3%:</t>
        </is>
      </c>
      <c r="C29" s="15" t="n"/>
      <c r="D29" s="15" t="n"/>
      <c r="E29" s="15" t="n"/>
      <c r="F29" s="15">
        <f>ROUND(F28*0.03, 2)</f>
        <v/>
      </c>
      <c r="G29" s="15" t="n"/>
    </row>
    <row r="30" ht="24" customHeight="1">
      <c r="A30" s="20" t="n"/>
      <c r="B30" s="20" t="inlineStr">
        <is>
          <t>GRAND TOTAL:</t>
        </is>
      </c>
      <c r="C30" s="20" t="n"/>
      <c r="D30" s="20" t="n"/>
      <c r="E30" s="20" t="n"/>
      <c r="F30" s="20">
        <f>F28+F29</f>
        <v/>
      </c>
      <c r="G30" s="20">
        <f>CONCATENATE("=  ", FIXED(F30/1000, 4), " MT")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2026-05-18T08:55:18Z</dcterms:created>
  <dcterms:modified xsi:type="dcterms:W3CDTF">2026-05-18T08:55:18Z</dcterms:modified>
</cp:coreProperties>
</file>