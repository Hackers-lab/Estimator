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stimate" sheetId="1" state="visible" r:id="rId1"/>
    <sheet name="Iron Breakup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8">
    <font>
      <name val="Calibri"/>
      <family val="2"/>
      <color theme="1"/>
      <sz val="11"/>
      <scheme val="minor"/>
    </font>
    <font>
      <b val="1"/>
      <color rgb="00FFFFFF"/>
      <sz val="14"/>
    </font>
    <font>
      <b val="1"/>
    </font>
    <font>
      <b val="1"/>
      <sz val="12"/>
    </font>
    <font>
      <b val="1"/>
      <color rgb="00FF0000"/>
      <sz val="12"/>
    </font>
    <font>
      <b val="1"/>
      <sz val="13"/>
    </font>
    <font>
      <b val="1"/>
      <color rgb="00FFFFFF"/>
      <sz val="13"/>
    </font>
    <font>
      <b val="1"/>
      <color rgb="002F5597"/>
    </font>
  </fonts>
  <fills count="5">
    <fill>
      <patternFill/>
    </fill>
    <fill>
      <patternFill patternType="gray125"/>
    </fill>
    <fill>
      <patternFill patternType="solid">
        <fgColor rgb="004F81BD"/>
      </patternFill>
    </fill>
    <fill>
      <patternFill patternType="solid">
        <fgColor rgb="00D9E1F2"/>
      </patternFill>
    </fill>
    <fill>
      <patternFill patternType="solid">
        <fgColor rgb="00EBF1DE"/>
      </patternFill>
    </fill>
  </fills>
  <borders count="2">
    <border>
      <left/>
      <right/>
      <top/>
      <bottom/>
      <diagonal/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2" fontId="2" fillId="0" borderId="0" pivotButton="0" quotePrefix="0" xfId="0"/>
    <xf numFmtId="0" fontId="3" fillId="0" borderId="0" pivotButton="0" quotePrefix="0" xfId="0"/>
    <xf numFmtId="2" fontId="4" fillId="0" borderId="0" pivotButton="0" quotePrefix="0" xfId="0"/>
    <xf numFmtId="0" fontId="6" fillId="2" borderId="0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2" fillId="3" borderId="1" pivotButton="0" quotePrefix="0" xfId="0"/>
    <xf numFmtId="0" fontId="0" fillId="0" borderId="1" pivotButton="0" quotePrefix="0" xfId="0"/>
    <xf numFmtId="0" fontId="0" fillId="4" borderId="1" pivotButton="0" quotePrefix="0" xfId="0"/>
    <xf numFmtId="0" fontId="2" fillId="4" borderId="1" pivotButton="0" quotePrefix="0" xfId="0"/>
    <xf numFmtId="0" fontId="0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3"/>
  <sheetViews>
    <sheetView workbookViewId="0">
      <selection activeCell="A1" sqref="A1"/>
    </sheetView>
  </sheetViews>
  <sheetFormatPr baseColWidth="8" defaultRowHeight="15"/>
  <cols>
    <col width="15" customWidth="1" min="2" max="2"/>
    <col width="45" customWidth="1" min="3" max="3"/>
  </cols>
  <sheetData>
    <row r="1">
      <c r="A1" s="1" t="inlineStr">
        <is>
          <t>AUTOMATED ERP ESTIMATE</t>
        </is>
      </c>
    </row>
    <row r="2">
      <c r="A2" t="inlineStr">
        <is>
          <t>Subject:   |  Type: NSC  |  Date: 18-05-2026</t>
        </is>
      </c>
    </row>
    <row r="3">
      <c r="A3" t="inlineStr">
        <is>
          <t>Lat:    Long:    |   Materials: Raw Steel</t>
        </is>
      </c>
    </row>
    <row r="4">
      <c r="A4" s="2" t="inlineStr">
        <is>
          <t>Sl No.</t>
        </is>
      </c>
      <c r="B4" s="2" t="inlineStr">
        <is>
          <t>Code</t>
        </is>
      </c>
      <c r="C4" s="2" t="inlineStr">
        <is>
          <t>Description</t>
        </is>
      </c>
      <c r="D4" s="2" t="inlineStr">
        <is>
          <t>Qty</t>
        </is>
      </c>
      <c r="E4" s="2" t="inlineStr">
        <is>
          <t>Unit</t>
        </is>
      </c>
      <c r="F4" s="2" t="inlineStr">
        <is>
          <t>Rate</t>
        </is>
      </c>
      <c r="G4" s="2" t="inlineStr">
        <is>
          <t>Amount</t>
        </is>
      </c>
    </row>
    <row r="5">
      <c r="C5" s="2" t="inlineStr">
        <is>
          <t>A. MATERIALS</t>
        </is>
      </c>
    </row>
    <row r="6">
      <c r="A6" t="n">
        <v>1</v>
      </c>
      <c r="B6" t="inlineStr">
        <is>
          <t>0110030241</t>
        </is>
      </c>
      <c r="C6" t="inlineStr">
        <is>
          <t>P C C POLE:9 Mtrs.Long</t>
        </is>
      </c>
      <c r="D6" s="3" t="n">
        <v>1</v>
      </c>
      <c r="E6" t="inlineStr">
        <is>
          <t>NOS</t>
        </is>
      </c>
      <c r="F6" s="4" t="n">
        <v>10198.28</v>
      </c>
      <c r="G6" s="4">
        <f>ROUND(D6*F6, 2)</f>
        <v/>
      </c>
    </row>
    <row r="7">
      <c r="A7" t="n">
        <v>2</v>
      </c>
      <c r="B7" t="inlineStr">
        <is>
          <t>0910010241</t>
        </is>
      </c>
      <c r="C7" t="inlineStr">
        <is>
          <t>Caution Board 11KV</t>
        </is>
      </c>
      <c r="D7" s="3" t="n">
        <v>1</v>
      </c>
      <c r="E7" t="inlineStr">
        <is>
          <t>NOS</t>
        </is>
      </c>
      <c r="F7" s="4" t="n">
        <v>143.95</v>
      </c>
      <c r="G7" s="4">
        <f>ROUND(D7*F7, 2)</f>
        <v/>
      </c>
    </row>
    <row r="8">
      <c r="A8" t="n">
        <v>3</v>
      </c>
      <c r="B8" t="inlineStr">
        <is>
          <t>0504110541</t>
        </is>
      </c>
      <c r="C8" t="inlineStr">
        <is>
          <t>G.I. Earth Spike 1833X20MM</t>
        </is>
      </c>
      <c r="D8" s="3" t="n">
        <v>1</v>
      </c>
      <c r="E8" t="inlineStr">
        <is>
          <t>NOS</t>
        </is>
      </c>
      <c r="F8" s="4" t="n">
        <v>367.98</v>
      </c>
      <c r="G8" s="4">
        <f>ROUND(D8*F8, 2)</f>
        <v/>
      </c>
    </row>
    <row r="9">
      <c r="A9" t="n">
        <v>4</v>
      </c>
      <c r="B9" t="inlineStr">
        <is>
          <t>0503010811</t>
        </is>
      </c>
      <c r="C9" t="inlineStr">
        <is>
          <t>G.I. Wire 5 MM (6 SWG)</t>
        </is>
      </c>
      <c r="D9" s="3" t="n">
        <v>0.013</v>
      </c>
      <c r="E9" t="inlineStr">
        <is>
          <t>MT</t>
        </is>
      </c>
      <c r="F9" s="4" t="n">
        <v>136865.98</v>
      </c>
      <c r="G9" s="4">
        <f>ROUND(D9*F9, 2)</f>
        <v/>
      </c>
    </row>
    <row r="10">
      <c r="A10" t="n">
        <v>5</v>
      </c>
      <c r="B10" t="inlineStr">
        <is>
          <t>0504130432</t>
        </is>
      </c>
      <c r="C10" t="inlineStr">
        <is>
          <t>G.I. Stay Set HT (1830X20MM) WRKG LD-7900KG</t>
        </is>
      </c>
      <c r="D10" s="3" t="n">
        <v>1</v>
      </c>
      <c r="E10" t="inlineStr">
        <is>
          <t>SET</t>
        </is>
      </c>
      <c r="F10" s="4" t="n">
        <v>795.83</v>
      </c>
      <c r="G10" s="4">
        <f>ROUND(D10*F10, 2)</f>
        <v/>
      </c>
    </row>
    <row r="11">
      <c r="A11" t="n">
        <v>6</v>
      </c>
      <c r="B11" t="inlineStr">
        <is>
          <t>0503050711</t>
        </is>
      </c>
      <c r="C11" t="inlineStr">
        <is>
          <t>G.I. Stay Wire 7/3.15MM (10 SWG)</t>
        </is>
      </c>
      <c r="D11" s="3" t="n">
        <v>0.006</v>
      </c>
      <c r="E11" t="inlineStr">
        <is>
          <t>MT</t>
        </is>
      </c>
      <c r="F11" s="4" t="n">
        <v>142310.93</v>
      </c>
      <c r="G11" s="4">
        <f>ROUND(D11*F11, 2)</f>
        <v/>
      </c>
    </row>
    <row r="12">
      <c r="A12" t="n">
        <v>7</v>
      </c>
      <c r="B12" t="inlineStr">
        <is>
          <t>0508040841</t>
        </is>
      </c>
      <c r="C12" t="inlineStr">
        <is>
          <t>Porcelain Guy Insulator HT</t>
        </is>
      </c>
      <c r="D12" s="3" t="n">
        <v>1</v>
      </c>
      <c r="E12" t="inlineStr">
        <is>
          <t>NOS</t>
        </is>
      </c>
      <c r="F12" s="4" t="n">
        <v>52.24</v>
      </c>
      <c r="G12" s="4">
        <f>ROUND(D12*F12, 2)</f>
        <v/>
      </c>
    </row>
    <row r="13">
      <c r="A13" t="n">
        <v>8</v>
      </c>
      <c r="B13" t="inlineStr">
        <is>
          <t>0101011311</t>
        </is>
      </c>
      <c r="C13" t="inlineStr">
        <is>
          <t>M.S Angle 65X65X6mm</t>
        </is>
      </c>
      <c r="D13" s="3" t="n">
        <v>0.022</v>
      </c>
      <c r="E13" t="inlineStr">
        <is>
          <t>MT</t>
        </is>
      </c>
      <c r="F13" s="4" t="n">
        <v>108667.24</v>
      </c>
      <c r="G13" s="4">
        <f>ROUND(D13*F13, 2)</f>
        <v/>
      </c>
    </row>
    <row r="14">
      <c r="A14" t="n">
        <v>9</v>
      </c>
      <c r="B14" t="inlineStr">
        <is>
          <t>0103011511</t>
        </is>
      </c>
      <c r="C14" t="inlineStr">
        <is>
          <t>M.S Flat 65X6 mm</t>
        </is>
      </c>
      <c r="D14" s="3" t="n">
        <v>0.003</v>
      </c>
      <c r="E14" t="inlineStr">
        <is>
          <t>MT</t>
        </is>
      </c>
      <c r="F14" s="4" t="n">
        <v>117493.74</v>
      </c>
      <c r="G14" s="4">
        <f>ROUND(D14*F14, 2)</f>
        <v/>
      </c>
    </row>
    <row r="15">
      <c r="A15" t="n">
        <v>10</v>
      </c>
      <c r="B15" t="inlineStr">
        <is>
          <t>0508030541</t>
        </is>
      </c>
      <c r="C15" t="inlineStr">
        <is>
          <t>11 KV Polymer Composite Disc Insulator 45KN</t>
        </is>
      </c>
      <c r="D15" s="3" t="n">
        <v>3</v>
      </c>
      <c r="E15" t="inlineStr">
        <is>
          <t>NOS</t>
        </is>
      </c>
      <c r="F15" s="4" t="n">
        <v>183.15</v>
      </c>
      <c r="G15" s="4">
        <f>ROUND(D15*F15, 2)</f>
        <v/>
      </c>
    </row>
    <row r="16">
      <c r="A16" t="n">
        <v>11</v>
      </c>
      <c r="B16" t="inlineStr">
        <is>
          <t>0504010132</t>
        </is>
      </c>
      <c r="C16" t="inlineStr">
        <is>
          <t>Composite Hardware Fittings for ACSR Weasel/Rabbit (30/50SQMM)</t>
        </is>
      </c>
      <c r="D16" s="3" t="n">
        <v>3.09</v>
      </c>
      <c r="E16" t="inlineStr">
        <is>
          <t>SET</t>
        </is>
      </c>
      <c r="F16" s="4" t="n">
        <v>327.83</v>
      </c>
      <c r="G16" s="4">
        <f>ROUND(D16*F16, 2)</f>
        <v/>
      </c>
    </row>
    <row r="17">
      <c r="A17" t="n">
        <v>12</v>
      </c>
      <c r="B17" t="inlineStr">
        <is>
          <t>0503010711</t>
        </is>
      </c>
      <c r="C17" t="inlineStr">
        <is>
          <t>G.I. Wire 4 MM (8 SWG)</t>
        </is>
      </c>
      <c r="D17" s="3" t="n">
        <v>0.004</v>
      </c>
      <c r="E17" t="inlineStr">
        <is>
          <t>MT</t>
        </is>
      </c>
      <c r="F17" s="4" t="n">
        <v>137360.98</v>
      </c>
      <c r="G17" s="4">
        <f>ROUND(D17*F17, 2)</f>
        <v/>
      </c>
    </row>
    <row r="18">
      <c r="A18" t="n">
        <v>13</v>
      </c>
      <c r="B18" t="inlineStr">
        <is>
          <t>0502010921</t>
        </is>
      </c>
      <c r="C18" t="inlineStr">
        <is>
          <t>ACSR Conductor 50SQMM (Rabbit)</t>
        </is>
      </c>
      <c r="D18" s="3" t="n">
        <v>0.124</v>
      </c>
      <c r="E18" t="inlineStr">
        <is>
          <t>KM</t>
        </is>
      </c>
      <c r="F18" s="4" t="n">
        <v>62290.12</v>
      </c>
      <c r="G18" s="4">
        <f>ROUND(D18*F18, 2)</f>
        <v/>
      </c>
    </row>
    <row r="19">
      <c r="A19" t="inlineStr"/>
      <c r="B19" t="inlineStr"/>
      <c r="C19" t="inlineStr">
        <is>
          <t>Material Base Total</t>
        </is>
      </c>
      <c r="D19" t="inlineStr"/>
      <c r="E19" t="inlineStr"/>
      <c r="F19" t="inlineStr"/>
      <c r="G19" s="4">
        <f>ROUND(SUM(G6:G18), 2)</f>
        <v/>
      </c>
    </row>
    <row r="20">
      <c r="A20" t="inlineStr"/>
      <c r="B20" t="inlineStr"/>
      <c r="C20" t="inlineStr">
        <is>
          <t>Add: Escalation @ 5% for FY 26-27</t>
        </is>
      </c>
      <c r="D20" t="inlineStr"/>
      <c r="E20" t="inlineStr"/>
      <c r="F20" t="inlineStr"/>
      <c r="G20" s="4">
        <f>ROUND((G19)*0.05, 2)</f>
        <v/>
      </c>
    </row>
    <row r="21">
      <c r="A21" t="inlineStr"/>
      <c r="B21" t="inlineStr"/>
      <c r="C21" t="inlineStr">
        <is>
          <t>Add: Sundries @ 5%</t>
        </is>
      </c>
      <c r="D21" t="inlineStr"/>
      <c r="E21" t="inlineStr"/>
      <c r="F21" t="inlineStr"/>
      <c r="G21" s="4">
        <f>ROUND((G19+G20)*0.05, 2)</f>
        <v/>
      </c>
    </row>
    <row r="22">
      <c r="A22" t="inlineStr"/>
      <c r="B22" t="inlineStr"/>
      <c r="C22" s="2" t="inlineStr">
        <is>
          <t>TOTAL MATERIAL COST (A)</t>
        </is>
      </c>
      <c r="D22" t="inlineStr"/>
      <c r="E22" t="inlineStr"/>
      <c r="F22" t="inlineStr"/>
      <c r="G22" s="5">
        <f>ROUND(G19+G20+G21, 2)</f>
        <v/>
      </c>
    </row>
    <row r="24">
      <c r="C24" s="2" t="inlineStr">
        <is>
          <t>B. ERECTION / LABOR</t>
        </is>
      </c>
    </row>
    <row r="25">
      <c r="A25" t="n">
        <v>1</v>
      </c>
      <c r="B25" t="inlineStr"/>
      <c r="C25" t="inlineStr">
        <is>
          <t>Erection of 9MTR PCC Pole (HT) Without Painted</t>
        </is>
      </c>
      <c r="D25" s="3" t="n">
        <v>1</v>
      </c>
      <c r="E25" t="inlineStr">
        <is>
          <t>NOS</t>
        </is>
      </c>
      <c r="F25" s="4" t="n">
        <v>2620</v>
      </c>
      <c r="G25" s="4">
        <f>ROUND(D25*F25, 2)</f>
        <v/>
      </c>
    </row>
    <row r="26">
      <c r="A26" t="n">
        <v>2</v>
      </c>
      <c r="B26" t="inlineStr"/>
      <c r="C26" t="inlineStr">
        <is>
          <t>Pole GIS Survey</t>
        </is>
      </c>
      <c r="D26" s="3" t="n">
        <v>1</v>
      </c>
      <c r="E26" t="inlineStr">
        <is>
          <t>NOS</t>
        </is>
      </c>
      <c r="F26" s="4" t="n">
        <v>31</v>
      </c>
      <c r="G26" s="4">
        <f>ROUND(D26*F26, 2)</f>
        <v/>
      </c>
    </row>
    <row r="27">
      <c r="A27" t="n">
        <v>3</v>
      </c>
      <c r="B27" t="inlineStr"/>
      <c r="C27" t="inlineStr">
        <is>
          <t>Fixing of Caution Board</t>
        </is>
      </c>
      <c r="D27" s="3" t="n">
        <v>1</v>
      </c>
      <c r="E27" t="inlineStr">
        <is>
          <t>NOS</t>
        </is>
      </c>
      <c r="F27" s="4" t="n">
        <v>24</v>
      </c>
      <c r="G27" s="4">
        <f>ROUND(D27*F27, 2)</f>
        <v/>
      </c>
    </row>
    <row r="28">
      <c r="A28" t="n">
        <v>4</v>
      </c>
      <c r="B28" t="inlineStr"/>
      <c r="C28" t="inlineStr">
        <is>
          <t>Earthing Complete</t>
        </is>
      </c>
      <c r="D28" s="3" t="n">
        <v>1</v>
      </c>
      <c r="E28" t="inlineStr">
        <is>
          <t>NOS</t>
        </is>
      </c>
      <c r="F28" s="4" t="n">
        <v>313</v>
      </c>
      <c r="G28" s="4">
        <f>ROUND(D28*F28, 2)</f>
        <v/>
      </c>
    </row>
    <row r="29">
      <c r="A29" t="n">
        <v>5</v>
      </c>
      <c r="B29" t="inlineStr"/>
      <c r="C29" t="inlineStr">
        <is>
          <t>H.T. Stay Set Complete Labour</t>
        </is>
      </c>
      <c r="D29" s="3" t="n">
        <v>1</v>
      </c>
      <c r="E29" t="inlineStr">
        <is>
          <t>SET</t>
        </is>
      </c>
      <c r="F29" s="4" t="n">
        <v>641</v>
      </c>
      <c r="G29" s="4">
        <f>ROUND(D29*F29, 2)</f>
        <v/>
      </c>
    </row>
    <row r="30">
      <c r="A30" t="n">
        <v>6</v>
      </c>
      <c r="B30" t="inlineStr"/>
      <c r="C30" t="inlineStr">
        <is>
          <t>Fabrication &amp; Fixing of CG Bracket Single Pole</t>
        </is>
      </c>
      <c r="D30" s="3" t="n">
        <v>2</v>
      </c>
      <c r="E30" t="inlineStr">
        <is>
          <t>NOS</t>
        </is>
      </c>
      <c r="F30" s="4" t="n">
        <v>237</v>
      </c>
      <c r="G30" s="4">
        <f>ROUND(D30*F30, 2)</f>
        <v/>
      </c>
    </row>
    <row r="31">
      <c r="A31" t="n">
        <v>7</v>
      </c>
      <c r="B31" t="inlineStr"/>
      <c r="C31" t="inlineStr">
        <is>
          <t>Fixing of 11KV Disc Insulator with Strain Hardware</t>
        </is>
      </c>
      <c r="D31" s="3" t="n">
        <v>3</v>
      </c>
      <c r="E31" t="inlineStr">
        <is>
          <t>NOS</t>
        </is>
      </c>
      <c r="F31" s="4" t="n">
        <v>65</v>
      </c>
      <c r="G31" s="4">
        <f>ROUND(D31*F31, 2)</f>
        <v/>
      </c>
    </row>
    <row r="32">
      <c r="A32" t="n">
        <v>8</v>
      </c>
      <c r="B32" t="inlineStr"/>
      <c r="C32" t="inlineStr">
        <is>
          <t>Fixing of Solid Tee-off Bracket on Double Pole</t>
        </is>
      </c>
      <c r="D32" s="3" t="n">
        <v>1</v>
      </c>
      <c r="E32" t="inlineStr">
        <is>
          <t>NOS</t>
        </is>
      </c>
      <c r="F32" s="4" t="n">
        <v>1483</v>
      </c>
      <c r="G32" s="4">
        <f>ROUND(D32*F32, 2)</f>
        <v/>
      </c>
    </row>
    <row r="33">
      <c r="A33" t="n">
        <v>9</v>
      </c>
      <c r="B33" t="inlineStr"/>
      <c r="C33" t="inlineStr">
        <is>
          <t>Fixing Cross Lacing Wire</t>
        </is>
      </c>
      <c r="D33" s="3" t="n">
        <v>20</v>
      </c>
      <c r="E33" t="inlineStr">
        <is>
          <t>NOS</t>
        </is>
      </c>
      <c r="F33" s="4" t="n">
        <v>15</v>
      </c>
      <c r="G33" s="4">
        <f>ROUND(D33*F33, 2)</f>
        <v/>
      </c>
    </row>
    <row r="34">
      <c r="A34" t="n">
        <v>10</v>
      </c>
      <c r="B34" t="inlineStr"/>
      <c r="C34" t="inlineStr">
        <is>
          <t>Stringing &amp; Sagging ACSR 50SQMM 3 Wire</t>
        </is>
      </c>
      <c r="D34" s="3" t="n">
        <v>0.04</v>
      </c>
      <c r="E34" t="inlineStr">
        <is>
          <t>KM</t>
        </is>
      </c>
      <c r="F34" s="4" t="n">
        <v>8289</v>
      </c>
      <c r="G34" s="4">
        <f>ROUND(D34*F34, 2)</f>
        <v/>
      </c>
    </row>
    <row r="35">
      <c r="A35" t="n">
        <v>11</v>
      </c>
      <c r="B35" t="inlineStr"/>
      <c r="C35" t="inlineStr">
        <is>
          <t>Survey for H.T.O.H Line</t>
        </is>
      </c>
      <c r="D35" s="3" t="n">
        <v>0.04</v>
      </c>
      <c r="E35" t="inlineStr">
        <is>
          <t>KM</t>
        </is>
      </c>
      <c r="F35" s="4" t="n">
        <v>2761</v>
      </c>
      <c r="G35" s="4">
        <f>ROUND(D35*F35, 2)</f>
        <v/>
      </c>
    </row>
    <row r="36">
      <c r="A36" t="inlineStr"/>
      <c r="B36" t="inlineStr"/>
      <c r="C36" s="2" t="inlineStr">
        <is>
          <t>TOTAL LABOR COST (B)</t>
        </is>
      </c>
      <c r="D36" t="inlineStr"/>
      <c r="E36" t="inlineStr"/>
      <c r="F36" t="inlineStr"/>
      <c r="G36" s="5">
        <f>ROUND(SUM(G25:G35), 2)</f>
        <v/>
      </c>
    </row>
    <row r="38">
      <c r="C38" s="2" t="inlineStr">
        <is>
          <t>C. OVERHEADS &amp; TAXES</t>
        </is>
      </c>
    </row>
    <row r="39">
      <c r="A39" t="inlineStr"/>
      <c r="B39" t="inlineStr"/>
      <c r="C39" t="inlineStr">
        <is>
          <t>Supervision @ 10% on (A+B)</t>
        </is>
      </c>
      <c r="D39" t="inlineStr"/>
      <c r="E39" t="inlineStr"/>
      <c r="F39" t="inlineStr"/>
      <c r="G39" s="4">
        <f>ROUND((G22+G36)*0.1, 2)</f>
        <v/>
      </c>
    </row>
    <row r="40">
      <c r="A40" t="inlineStr"/>
      <c r="B40" t="inlineStr"/>
      <c r="C40" t="inlineStr">
        <is>
          <t>GST @ 18% on Labour only</t>
        </is>
      </c>
      <c r="D40" t="inlineStr"/>
      <c r="E40" t="inlineStr"/>
      <c r="F40" t="inlineStr"/>
      <c r="G40" s="4">
        <f>ROUND(G36*0.18, 2)</f>
        <v/>
      </c>
    </row>
    <row r="41">
      <c r="A41" t="inlineStr"/>
      <c r="B41" t="inlineStr"/>
      <c r="C41" t="inlineStr">
        <is>
          <t>Sub-Total</t>
        </is>
      </c>
      <c r="D41" t="inlineStr"/>
      <c r="E41" t="inlineStr"/>
      <c r="F41" t="inlineStr"/>
      <c r="G41" s="4">
        <f>ROUND(G22+G36+G39+G40, 2)</f>
        <v/>
      </c>
    </row>
    <row r="42">
      <c r="A42" t="inlineStr"/>
      <c r="B42" t="inlineStr"/>
      <c r="C42" t="inlineStr">
        <is>
          <t>Add: Cess @ 1% on (Mat+Lab+Sup)</t>
        </is>
      </c>
      <c r="D42" t="inlineStr"/>
      <c r="E42" t="inlineStr"/>
      <c r="F42" t="inlineStr"/>
      <c r="G42" s="4">
        <f>ROUND((G22+G36+G39)*0.01, 2)</f>
        <v/>
      </c>
    </row>
    <row r="43">
      <c r="A43" t="inlineStr"/>
      <c r="B43" t="inlineStr"/>
      <c r="C43" s="6" t="inlineStr">
        <is>
          <t>GRAND TOTAL</t>
        </is>
      </c>
      <c r="D43" t="inlineStr"/>
      <c r="E43" t="inlineStr"/>
      <c r="F43" t="inlineStr"/>
      <c r="G43" s="7">
        <f>ROUND(G41+G42, 2)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5" customWidth="1" min="1" max="1"/>
    <col width="42" customWidth="1" min="2" max="2"/>
    <col width="8" customWidth="1" min="3" max="3"/>
    <col width="10" customWidth="1" min="4" max="4"/>
    <col width="10" customWidth="1" min="5" max="5"/>
    <col width="12" customWidth="1" min="6" max="6"/>
  </cols>
  <sheetData>
    <row r="1">
      <c r="A1" s="8" t="inlineStr">
        <is>
          <t>IRON CALCULATION BREAKUP</t>
        </is>
      </c>
    </row>
    <row r="2">
      <c r="A2" s="9" t="inlineStr">
        <is>
          <t>Steel quantities from rule-engine + 3% wastage &amp; sag</t>
        </is>
      </c>
    </row>
    <row r="3">
      <c r="A3" s="10" t="inlineStr">
        <is>
          <t>C</t>
        </is>
      </c>
      <c r="B3" s="10" t="inlineStr">
        <is>
          <t>M.S. Angle (65X65X6mm)</t>
        </is>
      </c>
      <c r="C3" s="10" t="inlineStr">
        <is>
          <t>No</t>
        </is>
      </c>
      <c r="D3" s="10" t="inlineStr">
        <is>
          <t>Lgth(m)</t>
        </is>
      </c>
      <c r="E3" s="10" t="inlineStr">
        <is>
          <t>Total(m)</t>
        </is>
      </c>
      <c r="F3" s="10" t="inlineStr">
        <is>
          <t>Wt(kg)</t>
        </is>
      </c>
    </row>
    <row r="4">
      <c r="A4" s="11" t="n">
        <v>1</v>
      </c>
      <c r="B4" s="11" t="inlineStr">
        <is>
          <t>Cradle Guard (CG) Bracket on Pole</t>
        </is>
      </c>
      <c r="C4" s="11" t="n">
        <v>2</v>
      </c>
      <c r="D4" s="11" t="n">
        <v>1.9</v>
      </c>
      <c r="E4" s="11" t="n">
        <v>3.8</v>
      </c>
      <c r="F4" s="11" t="n">
        <v>22.04</v>
      </c>
    </row>
    <row r="5">
      <c r="A5" s="11" t="n">
        <v>2</v>
      </c>
      <c r="B5" s="11" t="inlineStr">
        <is>
          <t>Add: Wastage + Sag @ 3%</t>
        </is>
      </c>
      <c r="C5" s="11" t="inlineStr"/>
      <c r="D5" s="11" t="inlineStr"/>
      <c r="E5" s="11" t="n">
        <v>0.114</v>
      </c>
      <c r="F5" s="11" t="n">
        <v>0.66</v>
      </c>
    </row>
    <row r="6">
      <c r="A6" s="12" t="n"/>
      <c r="B6" s="13" t="inlineStr">
        <is>
          <t>Total (incl. 3% wastage &amp; sag)</t>
        </is>
      </c>
      <c r="C6" s="12" t="n"/>
      <c r="D6" s="12" t="n"/>
      <c r="E6" s="13" t="n">
        <v>3.914</v>
      </c>
      <c r="F6" s="13" t="n">
        <v>22.7</v>
      </c>
    </row>
    <row r="8">
      <c r="A8" s="10" t="inlineStr">
        <is>
          <t>E</t>
        </is>
      </c>
      <c r="B8" s="10" t="inlineStr">
        <is>
          <t>M.S. Flat (65X6mm)</t>
        </is>
      </c>
      <c r="C8" s="10" t="inlineStr">
        <is>
          <t>No</t>
        </is>
      </c>
      <c r="D8" s="10" t="inlineStr">
        <is>
          <t>Lgth(m)</t>
        </is>
      </c>
      <c r="E8" s="10" t="inlineStr">
        <is>
          <t>Total(m)</t>
        </is>
      </c>
      <c r="F8" s="10" t="inlineStr">
        <is>
          <t>Wt(kg)</t>
        </is>
      </c>
    </row>
    <row r="9">
      <c r="A9" s="11" t="n">
        <v>1</v>
      </c>
      <c r="B9" s="11" t="inlineStr">
        <is>
          <t>Cradle Guard (CG) Bracket on Pole</t>
        </is>
      </c>
      <c r="C9" s="11" t="n">
        <v>2</v>
      </c>
      <c r="D9" s="11" t="n">
        <v>0.5</v>
      </c>
      <c r="E9" s="11" t="n">
        <v>1</v>
      </c>
      <c r="F9" s="11" t="n">
        <v>3.1</v>
      </c>
    </row>
    <row r="10">
      <c r="A10" s="11" t="n">
        <v>2</v>
      </c>
      <c r="B10" s="11" t="inlineStr">
        <is>
          <t>Add: Wastage + Sag @ 3%</t>
        </is>
      </c>
      <c r="C10" s="11" t="inlineStr"/>
      <c r="D10" s="11" t="inlineStr"/>
      <c r="E10" s="11" t="n">
        <v>0.03</v>
      </c>
      <c r="F10" s="11" t="n">
        <v>0.09</v>
      </c>
    </row>
    <row r="11">
      <c r="A11" s="12" t="n"/>
      <c r="B11" s="13" t="inlineStr">
        <is>
          <t>Total (incl. 3% wastage &amp; sag)</t>
        </is>
      </c>
      <c r="C11" s="12" t="n"/>
      <c r="D11" s="12" t="n"/>
      <c r="E11" s="13" t="n">
        <v>1.03</v>
      </c>
      <c r="F11" s="13" t="n">
        <v>3.19</v>
      </c>
    </row>
    <row r="13">
      <c r="A13" s="10" t="inlineStr">
        <is>
          <t>F</t>
        </is>
      </c>
      <c r="B13" s="10" t="inlineStr">
        <is>
          <t>G.I. Wire 5 MM (6 SWG)</t>
        </is>
      </c>
      <c r="C13" s="10" t="inlineStr">
        <is>
          <t>No</t>
        </is>
      </c>
      <c r="D13" s="14" t="inlineStr"/>
      <c r="E13" s="14" t="inlineStr"/>
      <c r="F13" s="10" t="inlineStr">
        <is>
          <t>Wt(kg)</t>
        </is>
      </c>
    </row>
    <row r="14">
      <c r="A14" s="11" t="n">
        <v>1</v>
      </c>
      <c r="B14" s="11" t="inlineStr">
        <is>
          <t>CG Earthing Wire on Span (40m)</t>
        </is>
      </c>
      <c r="C14" s="11" t="n">
        <v>1</v>
      </c>
      <c r="D14" s="11" t="inlineStr"/>
      <c r="E14" s="11" t="inlineStr"/>
      <c r="F14" s="11" t="n">
        <v>9.84</v>
      </c>
    </row>
    <row r="15">
      <c r="A15" s="11" t="n">
        <v>2</v>
      </c>
      <c r="B15" s="11" t="inlineStr">
        <is>
          <t>Earthing on New HT Pole (1 nos)</t>
        </is>
      </c>
      <c r="C15" s="11" t="n">
        <v>1</v>
      </c>
      <c r="D15" s="11" t="inlineStr"/>
      <c r="E15" s="11" t="inlineStr"/>
      <c r="F15" s="11" t="n">
        <v>3</v>
      </c>
    </row>
    <row r="16">
      <c r="A16" s="11" t="n">
        <v>3</v>
      </c>
      <c r="B16" s="11" t="inlineStr">
        <is>
          <t>Add: Wastage + Sag @ 3%</t>
        </is>
      </c>
      <c r="C16" s="11" t="inlineStr"/>
      <c r="D16" s="11" t="inlineStr"/>
      <c r="E16" s="11" t="inlineStr"/>
      <c r="F16" s="11" t="n">
        <v>0.39</v>
      </c>
    </row>
    <row r="17">
      <c r="A17" s="12" t="n"/>
      <c r="B17" s="13" t="inlineStr">
        <is>
          <t>Total (incl. 3% wastage &amp; sag)</t>
        </is>
      </c>
      <c r="C17" s="12" t="n"/>
      <c r="D17" s="12" t="n"/>
      <c r="E17" s="12" t="inlineStr"/>
      <c r="F17" s="13" t="n">
        <v>13.23</v>
      </c>
    </row>
    <row r="19">
      <c r="A19" s="10" t="inlineStr">
        <is>
          <t>G</t>
        </is>
      </c>
      <c r="B19" s="10" t="inlineStr">
        <is>
          <t>G.I. Wire 4 MM (8 SWG)</t>
        </is>
      </c>
      <c r="C19" s="10" t="inlineStr">
        <is>
          <t>No</t>
        </is>
      </c>
      <c r="D19" s="14" t="inlineStr"/>
      <c r="E19" s="14" t="inlineStr"/>
      <c r="F19" s="10" t="inlineStr">
        <is>
          <t>Wt(kg)</t>
        </is>
      </c>
    </row>
    <row r="20">
      <c r="A20" s="11" t="n">
        <v>1</v>
      </c>
      <c r="B20" s="11" t="inlineStr">
        <is>
          <t>CG Earthing Wire on Span (40m)</t>
        </is>
      </c>
      <c r="C20" s="11" t="n">
        <v>1</v>
      </c>
      <c r="D20" s="11" t="inlineStr"/>
      <c r="E20" s="11" t="inlineStr"/>
      <c r="F20" s="11" t="n">
        <v>4</v>
      </c>
    </row>
    <row r="21">
      <c r="A21" s="11" t="n">
        <v>2</v>
      </c>
      <c r="B21" s="11" t="inlineStr">
        <is>
          <t>Add: Wastage + Sag @ 3%</t>
        </is>
      </c>
      <c r="C21" s="11" t="inlineStr"/>
      <c r="D21" s="11" t="inlineStr"/>
      <c r="E21" s="11" t="inlineStr"/>
      <c r="F21" s="11" t="n">
        <v>0.12</v>
      </c>
    </row>
    <row r="22">
      <c r="A22" s="12" t="n"/>
      <c r="B22" s="13" t="inlineStr">
        <is>
          <t>Total (incl. 3% wastage &amp; sag)</t>
        </is>
      </c>
      <c r="C22" s="12" t="n"/>
      <c r="D22" s="12" t="n"/>
      <c r="E22" s="12" t="inlineStr"/>
      <c r="F22" s="13" t="n">
        <v>4.12</v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2026-05-18T07:02:49Z</dcterms:created>
  <dcterms:modified xsi:type="dcterms:W3CDTF">2026-05-18T07:02:49Z</dcterms:modified>
</cp:coreProperties>
</file>