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  &quot;MT&quot;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00000"/>
      <sz val="11"/>
    </font>
    <font>
      <name val="Segoe UI"/>
      <b val="1"/>
      <color rgb="00000000"/>
      <sz val="12"/>
    </font>
  </fonts>
  <fills count="12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2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7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6" borderId="1" pivotButton="0" quotePrefix="0" xfId="0"/>
    <xf numFmtId="0" fontId="9" fillId="7" borderId="1" applyAlignment="1" pivotButton="0" quotePrefix="0" xfId="0">
      <alignment horizontal="center" vertical="center"/>
    </xf>
    <xf numFmtId="0" fontId="9" fillId="7" borderId="1" pivotButton="0" quotePrefix="0" xfId="0"/>
    <xf numFmtId="2" fontId="9" fillId="7" borderId="1" pivotButton="0" quotePrefix="0" xfId="0"/>
    <xf numFmtId="165" fontId="9" fillId="7" borderId="1" pivotButton="0" quotePrefix="0" xfId="0"/>
    <xf numFmtId="0" fontId="8" fillId="8" borderId="1" pivotButton="0" quotePrefix="0" xfId="0"/>
    <xf numFmtId="2" fontId="8" fillId="8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0" fontId="10" fillId="9" borderId="1" pivotButton="0" quotePrefix="0" xfId="0"/>
    <xf numFmtId="165" fontId="10" fillId="9" borderId="1" applyAlignment="1" pivotButton="0" quotePrefix="0" xfId="0">
      <alignment horizontal="center" vertical="center"/>
    </xf>
    <xf numFmtId="0" fontId="10" fillId="10" borderId="1" pivotButton="0" quotePrefix="0" xfId="0"/>
    <xf numFmtId="165" fontId="10" fillId="10" borderId="1" applyAlignment="1" pivotButton="0" quotePrefix="0" xfId="0">
      <alignment horizontal="center" vertical="center"/>
    </xf>
    <xf numFmtId="0" fontId="8" fillId="10" borderId="1" pivotButton="0" quotePrefix="0" xfId="0"/>
    <xf numFmtId="165" fontId="8" fillId="10" borderId="1" applyAlignment="1" pivotButton="0" quotePrefix="0" xfId="0">
      <alignment horizontal="center" vertical="center"/>
    </xf>
    <xf numFmtId="0" fontId="11" fillId="11" borderId="1" pivotButton="0" quotePrefix="0" xfId="0"/>
    <xf numFmtId="166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  |  Type: NSC  |  Date: 19-05-2026</t>
        </is>
      </c>
    </row>
    <row r="3">
      <c r="A3" t="inlineStr">
        <is>
          <t>Lat:    Long: 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0110030141</t>
        </is>
      </c>
      <c r="C6" t="inlineStr">
        <is>
          <t>P C C POLE:8 Mtrs.Long</t>
        </is>
      </c>
      <c r="D6" s="3" t="n">
        <v>3</v>
      </c>
      <c r="E6" t="inlineStr">
        <is>
          <t>NOS</t>
        </is>
      </c>
      <c r="F6" s="4" t="n">
        <v>5363.44</v>
      </c>
      <c r="G6" s="4">
        <f>ROUND(D6*F6, 2)</f>
        <v/>
      </c>
    </row>
    <row r="7">
      <c r="A7" t="n">
        <v>2</v>
      </c>
      <c r="B7" t="inlineStr">
        <is>
          <t>0504110541</t>
        </is>
      </c>
      <c r="C7" t="inlineStr">
        <is>
          <t>G.I. Earth Spike 1833X20MM</t>
        </is>
      </c>
      <c r="D7" s="3" t="n">
        <v>3</v>
      </c>
      <c r="E7" t="inlineStr">
        <is>
          <t>NOS</t>
        </is>
      </c>
      <c r="F7" s="4" t="n">
        <v>367.98</v>
      </c>
      <c r="G7" s="4">
        <f>ROUND(D7*F7, 2)</f>
        <v/>
      </c>
    </row>
    <row r="8">
      <c r="A8" t="n">
        <v>3</v>
      </c>
      <c r="B8" t="inlineStr">
        <is>
          <t>0503010811</t>
        </is>
      </c>
      <c r="C8" t="inlineStr">
        <is>
          <t>G.I. Wire 5 MM (6 SWG)</t>
        </is>
      </c>
      <c r="D8" s="5" t="n">
        <v>0.008999999999999999</v>
      </c>
      <c r="E8" t="inlineStr">
        <is>
          <t>MT</t>
        </is>
      </c>
      <c r="F8" s="4" t="n">
        <v>136865.98</v>
      </c>
      <c r="G8" s="4">
        <f>ROUND(D8*F8, 2)</f>
        <v/>
      </c>
    </row>
    <row r="9">
      <c r="A9" t="n">
        <v>4</v>
      </c>
      <c r="B9" t="inlineStr">
        <is>
          <t>0504130332</t>
        </is>
      </c>
      <c r="C9" t="inlineStr">
        <is>
          <t>G.I. Stay Set LT (1680X16MM) WRKG LD-5100KG</t>
        </is>
      </c>
      <c r="D9" s="3" t="n">
        <v>2</v>
      </c>
      <c r="E9" t="inlineStr">
        <is>
          <t>SET</t>
        </is>
      </c>
      <c r="F9" s="4" t="n">
        <v>462.17</v>
      </c>
      <c r="G9" s="4">
        <f>ROUND(D9*F9, 2)</f>
        <v/>
      </c>
    </row>
    <row r="10">
      <c r="A10" t="n">
        <v>5</v>
      </c>
      <c r="B10" t="inlineStr">
        <is>
          <t>0503050611</t>
        </is>
      </c>
      <c r="C10" t="inlineStr">
        <is>
          <t>G.I. Stay Wire 7/2.5MM (12 SWG)</t>
        </is>
      </c>
      <c r="D10" s="5" t="n">
        <v>0.008</v>
      </c>
      <c r="E10" t="inlineStr">
        <is>
          <t>MT</t>
        </is>
      </c>
      <c r="F10" s="4" t="n">
        <v>145404.64</v>
      </c>
      <c r="G10" s="4">
        <f>ROUND(D10*F10, 2)</f>
        <v/>
      </c>
    </row>
    <row r="11">
      <c r="A11" t="n">
        <v>6</v>
      </c>
      <c r="B11" t="inlineStr">
        <is>
          <t>0508040741</t>
        </is>
      </c>
      <c r="C11" t="inlineStr">
        <is>
          <t>Porcelain Guy Insulator LT</t>
        </is>
      </c>
      <c r="D11" s="3" t="n">
        <v>2</v>
      </c>
      <c r="E11" t="inlineStr">
        <is>
          <t>NOS</t>
        </is>
      </c>
      <c r="F11" s="4" t="n">
        <v>18.37</v>
      </c>
      <c r="G11" s="4">
        <f>ROUND(D11*F11, 2)</f>
        <v/>
      </c>
    </row>
    <row r="12">
      <c r="A12" t="n">
        <v>7</v>
      </c>
      <c r="B12" t="inlineStr">
        <is>
          <t>0504060941</t>
        </is>
      </c>
      <c r="C12" t="inlineStr">
        <is>
          <t>LT Distribution Box 3Ph with Steel Strap &amp; Buckle ABC</t>
        </is>
      </c>
      <c r="D12" s="3" t="n">
        <v>3</v>
      </c>
      <c r="E12" t="inlineStr">
        <is>
          <t>NOS</t>
        </is>
      </c>
      <c r="F12" s="4" t="n">
        <v>1632.58</v>
      </c>
      <c r="G12" s="4">
        <f>ROUND(D12*F12, 2)</f>
        <v/>
      </c>
    </row>
    <row r="13">
      <c r="A13" t="n">
        <v>8</v>
      </c>
      <c r="B13" t="inlineStr">
        <is>
          <t>0504027141</t>
        </is>
      </c>
      <c r="C13" t="inlineStr">
        <is>
          <t>IPC for ABC to ABC TEE Joint</t>
        </is>
      </c>
      <c r="D13" s="3" t="n">
        <v>12</v>
      </c>
      <c r="E13" t="inlineStr">
        <is>
          <t>NOS</t>
        </is>
      </c>
      <c r="F13" s="4" t="n">
        <v>149.17</v>
      </c>
      <c r="G13" s="4">
        <f>ROUND(D13*F13, 2)</f>
        <v/>
      </c>
    </row>
    <row r="14">
      <c r="A14" t="n">
        <v>9</v>
      </c>
      <c r="B14" t="inlineStr">
        <is>
          <t>0505034141</t>
        </is>
      </c>
      <c r="C14" t="inlineStr">
        <is>
          <t>Dead End Clamp LT ABC (3X70+1X16+1X50SQMM)</t>
        </is>
      </c>
      <c r="D14" s="3" t="n">
        <v>2</v>
      </c>
      <c r="E14" t="inlineStr">
        <is>
          <t>NOS</t>
        </is>
      </c>
      <c r="F14" s="4" t="n">
        <v>307.84</v>
      </c>
      <c r="G14" s="4">
        <f>ROUND(D14*F14, 2)</f>
        <v/>
      </c>
    </row>
    <row r="15">
      <c r="A15" t="n">
        <v>10</v>
      </c>
      <c r="B15" t="inlineStr">
        <is>
          <t>0505030841</t>
        </is>
      </c>
      <c r="C15" t="inlineStr">
        <is>
          <t>Eye Hook for Anchor/Suspension Clamp</t>
        </is>
      </c>
      <c r="D15" s="3" t="n">
        <v>3</v>
      </c>
      <c r="E15" t="inlineStr">
        <is>
          <t>NOS</t>
        </is>
      </c>
      <c r="F15" s="4" t="n">
        <v>100.67</v>
      </c>
      <c r="G15" s="4">
        <f>ROUND(D15*F15, 2)</f>
        <v/>
      </c>
    </row>
    <row r="16">
      <c r="A16" t="n">
        <v>11</v>
      </c>
      <c r="B16" t="inlineStr">
        <is>
          <t>0505030641</t>
        </is>
      </c>
      <c r="C16" t="inlineStr">
        <is>
          <t>Suspension Clamp with Bracket 35SQMM Messenger</t>
        </is>
      </c>
      <c r="D16" s="3" t="n">
        <v>1</v>
      </c>
      <c r="E16" t="inlineStr">
        <is>
          <t>NOS</t>
        </is>
      </c>
      <c r="F16" s="4" t="n">
        <v>352.89</v>
      </c>
      <c r="G16" s="4">
        <f>ROUND(D16*F16, 2)</f>
        <v/>
      </c>
    </row>
    <row r="17">
      <c r="A17" t="n">
        <v>12</v>
      </c>
      <c r="B17" t="inlineStr">
        <is>
          <t>0501030421</t>
        </is>
      </c>
      <c r="C17" t="inlineStr">
        <is>
          <t>LT AB CABLE 1.1KV 3CX50+1CX16+1CX35SQMM</t>
        </is>
      </c>
      <c r="D17" s="5" t="n">
        <v>0.08</v>
      </c>
      <c r="E17" t="inlineStr">
        <is>
          <t>KM</t>
        </is>
      </c>
      <c r="F17" s="4" t="n">
        <v>237394.49</v>
      </c>
      <c r="G17" s="4">
        <f>ROUND(D17*F17, 2)</f>
        <v/>
      </c>
    </row>
    <row r="18">
      <c r="A18" t="n">
        <v>13</v>
      </c>
      <c r="B18" t="inlineStr">
        <is>
          <t>0103011511</t>
        </is>
      </c>
      <c r="C18" t="inlineStr">
        <is>
          <t>M.S Flat 65X6 mm</t>
        </is>
      </c>
      <c r="D18" s="5" t="n">
        <v>0.003</v>
      </c>
      <c r="E18" t="inlineStr">
        <is>
          <t>MT</t>
        </is>
      </c>
      <c r="F18" s="4" t="n">
        <v>117493.74</v>
      </c>
      <c r="G18" s="4">
        <f>ROUND(D18*F18, 2)</f>
        <v/>
      </c>
    </row>
    <row r="19">
      <c r="A19" t="inlineStr"/>
      <c r="B19" t="inlineStr"/>
      <c r="C19" t="inlineStr">
        <is>
          <t>Material Base Total</t>
        </is>
      </c>
      <c r="D19" t="inlineStr"/>
      <c r="E19" t="inlineStr"/>
      <c r="F19" t="inlineStr"/>
      <c r="G19" s="4">
        <f>ROUND(SUM(G6:G18), 2)</f>
        <v/>
      </c>
    </row>
    <row r="20">
      <c r="A20" t="inlineStr"/>
      <c r="B20" t="inlineStr"/>
      <c r="C20" t="inlineStr">
        <is>
          <t>Add: Escalation @ 5% for FY 24-25</t>
        </is>
      </c>
      <c r="D20" t="inlineStr"/>
      <c r="E20" t="inlineStr"/>
      <c r="F20" t="inlineStr"/>
      <c r="G20" s="4">
        <f>ROUND((G19)*0.05, 2)</f>
        <v/>
      </c>
    </row>
    <row r="21">
      <c r="A21" t="inlineStr"/>
      <c r="B21" t="inlineStr"/>
      <c r="C21" t="inlineStr">
        <is>
          <t>Add: Escalation @ 5% for FY 25-26</t>
        </is>
      </c>
      <c r="D21" t="inlineStr"/>
      <c r="E21" t="inlineStr"/>
      <c r="F21" t="inlineStr"/>
      <c r="G21" s="4">
        <f>ROUND((G19+G20)*0.05, 2)</f>
        <v/>
      </c>
    </row>
    <row r="22">
      <c r="A22" t="inlineStr"/>
      <c r="B22" t="inlineStr"/>
      <c r="C22" t="inlineStr">
        <is>
          <t>Add: Escalation @ 5% for FY 26-27</t>
        </is>
      </c>
      <c r="D22" t="inlineStr"/>
      <c r="E22" t="inlineStr"/>
      <c r="F22" t="inlineStr"/>
      <c r="G22" s="4">
        <f>ROUND((G19+G20+G21)*0.05, 2)</f>
        <v/>
      </c>
    </row>
    <row r="23">
      <c r="A23" t="inlineStr"/>
      <c r="B23" t="inlineStr"/>
      <c r="C23" t="inlineStr">
        <is>
          <t>Add: Sundries @ 5%</t>
        </is>
      </c>
      <c r="D23" t="inlineStr"/>
      <c r="E23" t="inlineStr"/>
      <c r="F23" t="inlineStr"/>
      <c r="G23" s="4">
        <f>ROUND((G19+G20+G21+G22)*0.05, 2)</f>
        <v/>
      </c>
    </row>
    <row r="24">
      <c r="A24" t="inlineStr"/>
      <c r="B24" t="inlineStr"/>
      <c r="C24" s="2" t="inlineStr">
        <is>
          <t>TOTAL MATERIAL COST (A)</t>
        </is>
      </c>
      <c r="D24" t="inlineStr"/>
      <c r="E24" t="inlineStr"/>
      <c r="F24" t="inlineStr"/>
      <c r="G24" s="6">
        <f>ROUND(G19+G20+G21+G22+G23, 2)</f>
        <v/>
      </c>
    </row>
    <row r="26">
      <c r="C26" s="2" t="inlineStr">
        <is>
          <t>B. ERECTION / LABOR</t>
        </is>
      </c>
    </row>
    <row r="27">
      <c r="A27" t="n">
        <v>1</v>
      </c>
      <c r="B27" t="inlineStr"/>
      <c r="C27" t="inlineStr">
        <is>
          <t>Erection of 8MTR PCC Pole (LT) Without Painted</t>
        </is>
      </c>
      <c r="D27" s="3" t="n">
        <v>3</v>
      </c>
      <c r="E27" t="inlineStr">
        <is>
          <t>NOS</t>
        </is>
      </c>
      <c r="F27" s="4" t="n">
        <v>1501</v>
      </c>
      <c r="G27" s="4">
        <f>ROUND(D27*F27, 2)</f>
        <v/>
      </c>
    </row>
    <row r="28">
      <c r="A28" t="n">
        <v>2</v>
      </c>
      <c r="B28" t="inlineStr"/>
      <c r="C28" t="inlineStr">
        <is>
          <t>Pole GIS Survey</t>
        </is>
      </c>
      <c r="D28" s="3" t="n">
        <v>3</v>
      </c>
      <c r="E28" t="inlineStr">
        <is>
          <t>NOS</t>
        </is>
      </c>
      <c r="F28" s="4" t="n">
        <v>31</v>
      </c>
      <c r="G28" s="4">
        <f>ROUND(D28*F28, 2)</f>
        <v/>
      </c>
    </row>
    <row r="29">
      <c r="A29" t="n">
        <v>3</v>
      </c>
      <c r="B29" t="inlineStr"/>
      <c r="C29" t="inlineStr">
        <is>
          <t>Earthing Complete</t>
        </is>
      </c>
      <c r="D29" s="3" t="n">
        <v>3</v>
      </c>
      <c r="E29" t="inlineStr">
        <is>
          <t>NOS</t>
        </is>
      </c>
      <c r="F29" s="4" t="n">
        <v>313</v>
      </c>
      <c r="G29" s="4">
        <f>ROUND(D29*F29, 2)</f>
        <v/>
      </c>
    </row>
    <row r="30">
      <c r="A30" t="n">
        <v>4</v>
      </c>
      <c r="B30" t="inlineStr"/>
      <c r="C30" t="inlineStr">
        <is>
          <t>LT Stay Set Complete Labour</t>
        </is>
      </c>
      <c r="D30" s="3" t="n">
        <v>2</v>
      </c>
      <c r="E30" t="inlineStr">
        <is>
          <t>SET</t>
        </is>
      </c>
      <c r="F30" s="4" t="n">
        <v>555</v>
      </c>
      <c r="G30" s="4">
        <f>ROUND(D30*F30, 2)</f>
        <v/>
      </c>
    </row>
    <row r="31">
      <c r="A31" t="n">
        <v>5</v>
      </c>
      <c r="B31" t="inlineStr"/>
      <c r="C31" t="inlineStr">
        <is>
          <t>Erection of Distribution Box LT ABC</t>
        </is>
      </c>
      <c r="D31" s="3" t="n">
        <v>3</v>
      </c>
      <c r="E31" t="inlineStr">
        <is>
          <t>NOS</t>
        </is>
      </c>
      <c r="F31" s="4" t="n">
        <v>507</v>
      </c>
      <c r="G31" s="4">
        <f>ROUND(D31*F31, 2)</f>
        <v/>
      </c>
    </row>
    <row r="32">
      <c r="A32" t="n">
        <v>6</v>
      </c>
      <c r="B32" t="inlineStr"/>
      <c r="C32" t="inlineStr">
        <is>
          <t>Fixing of IPC Connector LT ABC</t>
        </is>
      </c>
      <c r="D32" s="3" t="n">
        <v>12</v>
      </c>
      <c r="E32" t="inlineStr">
        <is>
          <t>NOS</t>
        </is>
      </c>
      <c r="F32" s="4" t="n">
        <v>75</v>
      </c>
      <c r="G32" s="4">
        <f>ROUND(D32*F32, 2)</f>
        <v/>
      </c>
    </row>
    <row r="33">
      <c r="A33" t="n">
        <v>7</v>
      </c>
      <c r="B33" t="inlineStr"/>
      <c r="C33" t="inlineStr">
        <is>
          <t>Erection of Anchor/Dead End Clamp LT ABC</t>
        </is>
      </c>
      <c r="D33" s="3" t="n">
        <v>2</v>
      </c>
      <c r="E33" t="inlineStr">
        <is>
          <t>NOS</t>
        </is>
      </c>
      <c r="F33" s="4" t="n">
        <v>154</v>
      </c>
      <c r="G33" s="4">
        <f>ROUND(D33*F33, 2)</f>
        <v/>
      </c>
    </row>
    <row r="34">
      <c r="A34" t="n">
        <v>8</v>
      </c>
      <c r="B34" t="inlineStr"/>
      <c r="C34" t="inlineStr">
        <is>
          <t>Erection of Suspension Clamp LT ABC</t>
        </is>
      </c>
      <c r="D34" s="3" t="n">
        <v>1</v>
      </c>
      <c r="E34" t="inlineStr">
        <is>
          <t>NOS</t>
        </is>
      </c>
      <c r="F34" s="4" t="n">
        <v>154</v>
      </c>
      <c r="G34" s="4">
        <f>ROUND(D34*F34, 2)</f>
        <v/>
      </c>
    </row>
    <row r="35">
      <c r="A35" t="n">
        <v>9</v>
      </c>
      <c r="B35" t="inlineStr"/>
      <c r="C35" t="inlineStr">
        <is>
          <t>Stringing &amp; Sagging LT AB Cable 3CX50+1CX16+1CX35</t>
        </is>
      </c>
      <c r="D35" s="5" t="n">
        <v>0.08</v>
      </c>
      <c r="E35" t="inlineStr">
        <is>
          <t>KM</t>
        </is>
      </c>
      <c r="F35" s="4" t="n">
        <v>46000</v>
      </c>
      <c r="G35" s="4">
        <f>ROUND(D35*F35, 2)</f>
        <v/>
      </c>
    </row>
    <row r="36">
      <c r="A36" t="n">
        <v>10</v>
      </c>
      <c r="B36" t="inlineStr"/>
      <c r="C36" t="inlineStr">
        <is>
          <t>Survey for L.T.O.H Line</t>
        </is>
      </c>
      <c r="D36" s="5" t="n">
        <v>0.08</v>
      </c>
      <c r="E36" t="inlineStr">
        <is>
          <t>KM</t>
        </is>
      </c>
      <c r="F36" s="4" t="n">
        <v>1714</v>
      </c>
      <c r="G36" s="4">
        <f>ROUND(D36*F36, 2)</f>
        <v/>
      </c>
    </row>
    <row r="37">
      <c r="A37" t="inlineStr"/>
      <c r="B37" t="inlineStr"/>
      <c r="C37" s="2" t="inlineStr">
        <is>
          <t>TOTAL LABOR COST (B)</t>
        </is>
      </c>
      <c r="D37" t="inlineStr"/>
      <c r="E37" t="inlineStr"/>
      <c r="F37" t="inlineStr"/>
      <c r="G37" s="6">
        <f>ROUND(SUM(G27:G36), 2)</f>
        <v/>
      </c>
    </row>
    <row r="39">
      <c r="C39" s="2" t="inlineStr">
        <is>
          <t>C. OVERHEADS &amp; TAXES</t>
        </is>
      </c>
    </row>
    <row r="40">
      <c r="A40" t="inlineStr"/>
      <c r="B40" t="inlineStr"/>
      <c r="C40" t="inlineStr">
        <is>
          <t>Supervision @ 10% on (A+B)</t>
        </is>
      </c>
      <c r="D40" t="inlineStr"/>
      <c r="E40" t="inlineStr"/>
      <c r="F40" t="inlineStr"/>
      <c r="G40" s="4">
        <f>ROUND((G24+G37)*0.1, 2)</f>
        <v/>
      </c>
    </row>
    <row r="41">
      <c r="A41" t="inlineStr"/>
      <c r="B41" t="inlineStr"/>
      <c r="C41" t="inlineStr">
        <is>
          <t>GST @ 18% on Labour only</t>
        </is>
      </c>
      <c r="D41" t="inlineStr"/>
      <c r="E41" t="inlineStr"/>
      <c r="F41" t="inlineStr"/>
      <c r="G41" s="4">
        <f>ROUND(G37*0.18, 2)</f>
        <v/>
      </c>
    </row>
    <row r="42">
      <c r="A42" t="inlineStr"/>
      <c r="B42" t="inlineStr"/>
      <c r="C42" t="inlineStr">
        <is>
          <t>Sub-Total</t>
        </is>
      </c>
      <c r="D42" t="inlineStr"/>
      <c r="E42" t="inlineStr"/>
      <c r="F42" t="inlineStr"/>
      <c r="G42" s="4">
        <f>ROUND(G24+G37+G40+G41, 2)</f>
        <v/>
      </c>
    </row>
    <row r="43">
      <c r="A43" t="inlineStr"/>
      <c r="B43" t="inlineStr"/>
      <c r="C43" t="inlineStr">
        <is>
          <t>Add: Cess @ 1% on (Mat+Lab+Sup)</t>
        </is>
      </c>
      <c r="D43" t="inlineStr"/>
      <c r="E43" t="inlineStr"/>
      <c r="F43" t="inlineStr"/>
      <c r="G43" s="4">
        <f>ROUND((G24+G37+G40)*0.01, 2)</f>
        <v/>
      </c>
    </row>
    <row r="44">
      <c r="A44" t="inlineStr"/>
      <c r="B44" t="inlineStr"/>
      <c r="C44" s="7" t="inlineStr">
        <is>
          <t>GRAND TOTAL</t>
        </is>
      </c>
      <c r="D44" t="inlineStr"/>
      <c r="E44" t="inlineStr"/>
      <c r="F44" t="inlineStr"/>
      <c r="G44" s="8">
        <f>ROUND(G42+G43, 2)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7" customWidth="1" min="3" max="3"/>
    <col width="15" customWidth="1" min="4" max="4"/>
    <col width="11" customWidth="1" min="5" max="5"/>
    <col width="13" customWidth="1" min="6" max="6"/>
  </cols>
  <sheetData>
    <row r="1" ht="30" customHeight="1">
      <c r="A1" s="9" t="inlineStr">
        <is>
          <t>IRON CALCULATION BREAKUP</t>
        </is>
      </c>
    </row>
    <row r="2" ht="18" customHeight="1">
      <c r="A2" s="10" t="inlineStr">
        <is>
          <t>No.</t>
        </is>
      </c>
      <c r="B2" s="11" t="inlineStr">
        <is>
          <t>Description</t>
        </is>
      </c>
      <c r="C2" s="10" t="inlineStr">
        <is>
          <t>No</t>
        </is>
      </c>
      <c r="D2" s="10" t="inlineStr">
        <is>
          <t>Length (m)</t>
        </is>
      </c>
      <c r="E2" s="10" t="inlineStr">
        <is>
          <t>Total (m)</t>
        </is>
      </c>
      <c r="F2" s="10" t="inlineStr">
        <is>
          <t>Iron (MT)</t>
        </is>
      </c>
    </row>
    <row r="3" ht="22" customHeight="1">
      <c r="A3" s="12" t="inlineStr">
        <is>
          <t>A</t>
        </is>
      </c>
      <c r="B3" s="13" t="inlineStr">
        <is>
          <t>M.S. Channel (75X40mm)  —  6.8 kg/m</t>
        </is>
      </c>
      <c r="C3" s="14" t="n"/>
      <c r="D3" s="14" t="n"/>
      <c r="E3" s="15" t="n"/>
      <c r="F3" s="12" t="inlineStr">
        <is>
          <t>Iron (MT)</t>
        </is>
      </c>
    </row>
    <row r="4" ht="18" customHeight="1">
      <c r="A4" s="16" t="n"/>
      <c r="B4" s="16" t="inlineStr">
        <is>
          <t xml:space="preserve">  ↳  LT Pole Iron — LT Pole Iron Recipe  (3 nos on canvas)</t>
        </is>
      </c>
      <c r="C4" s="14" t="n"/>
      <c r="D4" s="14" t="n"/>
      <c r="E4" s="14" t="n"/>
      <c r="F4" s="15" t="n"/>
    </row>
    <row r="5" ht="17" customHeight="1">
      <c r="A5" s="17" t="n">
        <v>1</v>
      </c>
      <c r="B5" s="18" t="inlineStr">
        <is>
          <t>Single Pole (V-Bracket &amp; Top Adaptor)</t>
        </is>
      </c>
      <c r="C5" s="17" t="n">
        <v>3</v>
      </c>
      <c r="D5" s="18">
        <f>1.5+0.3</f>
        <v/>
      </c>
      <c r="E5" s="19">
        <f>C5*D5</f>
        <v/>
      </c>
      <c r="F5" s="20">
        <f>ROUND(E5*6.8/1000,6)</f>
        <v/>
      </c>
    </row>
    <row r="6" ht="18" customHeight="1">
      <c r="A6" s="21" t="n"/>
      <c r="B6" s="21" t="inlineStr">
        <is>
          <t xml:space="preserve">  Iron Total — LT Pole Iron — LT Pole Iron Recipe</t>
        </is>
      </c>
      <c r="C6" s="21" t="n"/>
      <c r="D6" s="21" t="n"/>
      <c r="E6" s="22">
        <f>SUM(E5:E5)</f>
        <v/>
      </c>
      <c r="F6" s="23">
        <f>SUM(F5:F5)</f>
        <v/>
      </c>
    </row>
    <row r="7" ht="20" customHeight="1">
      <c r="A7" s="24" t="n"/>
      <c r="B7" s="24" t="inlineStr">
        <is>
          <t>Section Total — M.S. Channel (75X40mm)</t>
        </is>
      </c>
      <c r="C7" s="24" t="n"/>
      <c r="D7" s="24" t="n"/>
      <c r="E7" s="24" t="n"/>
      <c r="F7" s="25">
        <f>ROUND(F6,4)</f>
        <v/>
      </c>
    </row>
    <row r="9" ht="22" customHeight="1">
      <c r="A9" s="12" t="inlineStr">
        <is>
          <t>B</t>
        </is>
      </c>
      <c r="B9" s="13" t="inlineStr">
        <is>
          <t>M.S. Flat (65X6mm)  —  3.1 kg/m</t>
        </is>
      </c>
      <c r="C9" s="14" t="n"/>
      <c r="D9" s="14" t="n"/>
      <c r="E9" s="15" t="n"/>
      <c r="F9" s="12" t="inlineStr">
        <is>
          <t>Iron (MT)</t>
        </is>
      </c>
    </row>
    <row r="10" ht="18" customHeight="1">
      <c r="A10" s="16" t="n"/>
      <c r="B10" s="16" t="inlineStr">
        <is>
          <t xml:space="preserve">  ↳  LT Pole Iron — LT Pole Iron Recipe  (3 nos on canvas)</t>
        </is>
      </c>
      <c r="C10" s="14" t="n"/>
      <c r="D10" s="14" t="n"/>
      <c r="E10" s="14" t="n"/>
      <c r="F10" s="15" t="n"/>
    </row>
    <row r="11" ht="17" customHeight="1">
      <c r="A11" s="17" t="n">
        <v>1</v>
      </c>
      <c r="B11" s="18" t="inlineStr">
        <is>
          <t>No. of L.T. Pole (Clamp Flat)</t>
        </is>
      </c>
      <c r="C11" s="17" t="n">
        <v>3</v>
      </c>
      <c r="D11" s="18">
        <f>1</f>
        <v/>
      </c>
      <c r="E11" s="19">
        <f>C11*D11</f>
        <v/>
      </c>
      <c r="F11" s="20">
        <f>ROUND(E11*3.1/1000,6)</f>
        <v/>
      </c>
    </row>
    <row r="12" ht="18" customHeight="1">
      <c r="A12" s="21" t="n"/>
      <c r="B12" s="21" t="inlineStr">
        <is>
          <t xml:space="preserve">  Iron Total — LT Pole Iron — LT Pole Iron Recipe</t>
        </is>
      </c>
      <c r="C12" s="21" t="n"/>
      <c r="D12" s="21" t="n"/>
      <c r="E12" s="22">
        <f>SUM(E11:E11)</f>
        <v/>
      </c>
      <c r="F12" s="23">
        <f>SUM(F11:F11)</f>
        <v/>
      </c>
    </row>
    <row r="13" ht="18" customHeight="1">
      <c r="A13" s="16" t="n"/>
      <c r="B13" s="16" t="inlineStr">
        <is>
          <t xml:space="preserve">  ↳  AB Cable Clamp (2 spans)  (2 nos on canvas)</t>
        </is>
      </c>
      <c r="C13" s="14" t="n"/>
      <c r="D13" s="14" t="n"/>
      <c r="E13" s="14" t="n"/>
      <c r="F13" s="15" t="n"/>
    </row>
    <row r="14" ht="17" customHeight="1">
      <c r="A14" s="17" t="n">
        <v>1</v>
      </c>
      <c r="B14" s="18" t="inlineStr">
        <is>
          <t>AB Cable Clamp (Flat)</t>
        </is>
      </c>
      <c r="C14" s="17" t="n">
        <v>2</v>
      </c>
      <c r="D14" s="18">
        <f>0.5</f>
        <v/>
      </c>
      <c r="E14" s="19">
        <f>C14*D14</f>
        <v/>
      </c>
      <c r="F14" s="20">
        <f>ROUND(E14*3.1/1000,6)</f>
        <v/>
      </c>
    </row>
    <row r="15" ht="18" customHeight="1">
      <c r="A15" s="21" t="n"/>
      <c r="B15" s="21" t="inlineStr">
        <is>
          <t xml:space="preserve">  Iron Total — AB Cable Clamp (2 spans)</t>
        </is>
      </c>
      <c r="C15" s="21" t="n"/>
      <c r="D15" s="21" t="n"/>
      <c r="E15" s="22">
        <f>SUM(E14:E14)</f>
        <v/>
      </c>
      <c r="F15" s="23">
        <f>SUM(F14:F14)</f>
        <v/>
      </c>
    </row>
    <row r="16" ht="20" customHeight="1">
      <c r="A16" s="24" t="n"/>
      <c r="B16" s="24" t="inlineStr">
        <is>
          <t>Section Total — M.S. Flat (65X6mm)</t>
        </is>
      </c>
      <c r="C16" s="24" t="n"/>
      <c r="D16" s="24" t="n"/>
      <c r="E16" s="24" t="n"/>
      <c r="F16" s="25">
        <f>ROUND(F12+F15,4)</f>
        <v/>
      </c>
    </row>
    <row r="19" ht="22" customHeight="1">
      <c r="A19" s="26" t="n"/>
      <c r="B19" s="26" t="inlineStr">
        <is>
          <t>TOTAL IRON (as per Estimate):</t>
        </is>
      </c>
      <c r="C19" s="26" t="n"/>
      <c r="D19" s="26" t="n"/>
      <c r="E19" s="26" t="n"/>
      <c r="F19" s="27">
        <f>ROUND(F7+F16,4)</f>
        <v/>
      </c>
    </row>
    <row r="20" ht="18" customHeight="1">
      <c r="A20" s="28" t="n"/>
      <c r="B20" s="28" t="inlineStr">
        <is>
          <t xml:space="preserve">  Add: Fabrication Wastage @ 3%:</t>
        </is>
      </c>
      <c r="C20" s="28" t="n"/>
      <c r="D20" s="28" t="n"/>
      <c r="E20" s="28" t="n"/>
      <c r="F20" s="29">
        <f>ROUND(F19*0.03,4)</f>
        <v/>
      </c>
    </row>
    <row r="21" ht="26" customHeight="1">
      <c r="A21" s="30" t="n"/>
      <c r="B21" s="30" t="inlineStr">
        <is>
          <t>TOTAL FOR PROCUREMENT (incl. 3% wastage):</t>
        </is>
      </c>
      <c r="C21" s="30" t="n"/>
      <c r="D21" s="30" t="n"/>
      <c r="E21" s="30" t="n"/>
      <c r="F21" s="31">
        <f>ROUND(F19+F20,4)</f>
        <v/>
      </c>
    </row>
  </sheetData>
  <mergeCells count="6">
    <mergeCell ref="B4:F4"/>
    <mergeCell ref="B9:E9"/>
    <mergeCell ref="B10:F10"/>
    <mergeCell ref="A1:F1"/>
    <mergeCell ref="B3:E3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2026-05-19T00:27:25Z</dcterms:created>
  <dcterms:modified xsi:type="dcterms:W3CDTF">2026-05-19T00:27:25Z</dcterms:modified>
</cp:coreProperties>
</file>